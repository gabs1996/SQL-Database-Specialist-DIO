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ABS\Downloads\"/>
    </mc:Choice>
  </mc:AlternateContent>
  <xr:revisionPtr revIDLastSave="0" documentId="13_ncr:1_{427AF8A8-CD75-4FE3-9700-6ABE27686F2A}" xr6:coauthVersionLast="36" xr6:coauthVersionMax="47" xr10:uidLastSave="{00000000-0000-0000-0000-000000000000}"/>
  <bookViews>
    <workbookView xWindow="0" yWindow="0" windowWidth="20490" windowHeight="7545" tabRatio="0" firstSheet="2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44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AF11" i="4"/>
  <c r="AF10" i="4"/>
  <c r="AF9" i="4"/>
  <c r="AF8" i="4"/>
</calcChain>
</file>

<file path=xl/sharedStrings.xml><?xml version="1.0" encoding="utf-8"?>
<sst xmlns="http://schemas.openxmlformats.org/spreadsheetml/2006/main" count="2039" uniqueCount="340">
  <si>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</si>
  <si>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</si>
  <si>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</si>
  <si>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</si>
  <si>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</si>
  <si>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</si>
  <si>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</si>
  <si>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</si>
  <si>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</si>
  <si>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</si>
  <si>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</si>
  <si>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</si>
  <si>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</si>
  <si>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</si>
  <si>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</si>
  <si>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</si>
  <si>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</si>
  <si>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</si>
  <si>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</si>
  <si>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</si>
  <si>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</si>
  <si>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</si>
  <si>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</si>
  <si>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</si>
  <si>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</si>
  <si>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</si>
  <si>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</si>
  <si>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</si>
  <si>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</si>
  <si>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</si>
  <si>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</si>
  <si>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</si>
  <si>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</si>
  <si>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</si>
  <si>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</si>
  <si>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</si>
  <si>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</si>
  <si>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</si>
  <si>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</si>
  <si>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</si>
  <si>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</si>
  <si>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</si>
  <si>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</si>
  <si>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</si>
  <si>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</si>
  <si>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</si>
  <si>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</si>
  <si>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</si>
  <si>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</si>
  <si>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</si>
  <si>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</si>
  <si>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</si>
  <si>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</si>
  <si>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</si>
  <si>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</si>
  <si>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</si>
  <si>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</si>
  <si>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</si>
  <si>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</si>
  <si>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</si>
  <si>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</si>
  <si>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</si>
  <si>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</si>
  <si>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</si>
  <si>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</si>
  <si>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</si>
  <si>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</si>
  <si>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</si>
  <si>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</si>
  <si>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</si>
  <si>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</si>
  <si>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</si>
  <si>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</si>
  <si>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</si>
  <si>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</si>
  <si>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</si>
  <si>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</si>
  <si>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</si>
  <si>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</si>
  <si>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</si>
  <si>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</si>
  <si>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</si>
  <si>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</si>
  <si>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</si>
  <si>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</si>
  <si>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</si>
  <si>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</si>
  <si>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</si>
  <si>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</si>
  <si>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</si>
  <si>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</si>
  <si>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</si>
  <si>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</si>
  <si>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</si>
  <si>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</si>
  <si>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</si>
  <si>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</si>
  <si>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</si>
  <si>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</si>
  <si>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</si>
  <si>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</si>
  <si>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</si>
  <si>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</si>
  <si>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</si>
  <si>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</si>
  <si>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</si>
  <si>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</si>
  <si>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</si>
  <si>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</si>
  <si>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</si>
  <si>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</si>
  <si>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</si>
  <si>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</si>
  <si>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</si>
  <si>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</si>
  <si>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</si>
  <si>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</si>
  <si>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</si>
  <si>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</si>
  <si>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</si>
  <si>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</si>
  <si>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</si>
  <si>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</si>
  <si>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</si>
  <si>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</si>
  <si>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</si>
  <si>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</si>
  <si>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</si>
  <si>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</si>
  <si>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</si>
  <si>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</si>
  <si>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</si>
  <si>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</si>
  <si>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</si>
  <si>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</si>
  <si>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</si>
  <si>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</si>
  <si>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</si>
  <si>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</si>
  <si>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</si>
  <si>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</si>
  <si>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</si>
  <si>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</si>
  <si>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</si>
  <si>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</si>
  <si>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</si>
  <si>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</si>
  <si>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</si>
  <si>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</si>
  <si>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</si>
  <si>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</si>
  <si>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</si>
  <si>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</si>
  <si>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</si>
  <si>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</si>
  <si>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</si>
  <si>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</si>
  <si>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</si>
  <si>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</si>
  <si>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</si>
  <si>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</si>
  <si>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</si>
  <si>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</si>
  <si>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</si>
  <si>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</si>
  <si>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</si>
  <si>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</si>
  <si>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</si>
  <si>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</si>
  <si>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</si>
  <si>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</si>
  <si>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</si>
  <si>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</si>
  <si>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</si>
  <si>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</si>
  <si>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</si>
  <si>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</si>
  <si>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</si>
  <si>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</si>
  <si>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</si>
  <si>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</si>
  <si>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</si>
  <si>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</si>
  <si>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</si>
  <si>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</si>
  <si>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</si>
  <si>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</si>
  <si>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</si>
  <si>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</si>
  <si>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</si>
  <si>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</si>
  <si>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</si>
  <si>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</si>
  <si>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</si>
  <si>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</si>
  <si>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</si>
  <si>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</si>
  <si>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</si>
  <si>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</si>
  <si>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</si>
  <si>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</si>
  <si>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</si>
  <si>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</si>
  <si>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</si>
  <si>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</si>
  <si>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</si>
  <si>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</si>
  <si>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</si>
  <si>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</si>
  <si>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</si>
  <si>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</si>
  <si>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</si>
  <si>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</si>
  <si>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</si>
  <si>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</si>
  <si>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</si>
  <si>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</si>
  <si>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</si>
  <si>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</si>
  <si>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</si>
  <si>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</si>
  <si>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</si>
  <si>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</si>
  <si>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</si>
  <si>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</si>
  <si>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</si>
  <si>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</si>
  <si>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</si>
  <si>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</si>
  <si>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</si>
  <si>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</si>
  <si>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</si>
  <si>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</si>
  <si>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</si>
  <si>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</si>
  <si>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</si>
  <si>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</si>
  <si>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</si>
  <si>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</si>
  <si>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</si>
  <si>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</si>
  <si>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</si>
  <si>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</si>
  <si>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</si>
  <si>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</si>
  <si>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</si>
  <si>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</si>
  <si>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</si>
  <si>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</si>
  <si>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</si>
  <si>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</si>
  <si>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</si>
  <si>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</si>
  <si>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</si>
  <si>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</si>
  <si>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</si>
  <si>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</si>
  <si>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</si>
  <si>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</si>
  <si>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</si>
  <si>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</si>
  <si>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</si>
  <si>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</si>
  <si>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</si>
  <si>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</si>
  <si>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</si>
  <si>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</si>
  <si>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</si>
  <si>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</si>
  <si>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</si>
  <si>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</si>
  <si>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</si>
  <si>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</si>
  <si>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</si>
  <si>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</si>
  <si>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</si>
  <si>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</si>
  <si>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</si>
  <si>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</si>
  <si>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</si>
  <si>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</si>
  <si>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</si>
  <si>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</si>
  <si>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</si>
  <si>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</si>
  <si>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</si>
  <si>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</si>
  <si>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</si>
  <si>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</si>
  <si>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</si>
  <si>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</si>
  <si>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</si>
  <si>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</si>
  <si>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</si>
  <si>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</si>
  <si>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</si>
  <si>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</si>
  <si>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</si>
  <si>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</si>
  <si>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</si>
  <si>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</si>
  <si>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</si>
  <si>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</si>
  <si>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</si>
  <si>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</si>
  <si>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</si>
  <si>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</si>
  <si>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</si>
  <si>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</si>
  <si>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</si>
  <si>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</si>
  <si>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</si>
  <si>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</si>
  <si>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 xml:space="preserve">9bc848 </t>
  </si>
  <si>
    <t>4611ff</t>
  </si>
  <si>
    <t>Contagem de Subscriber ID</t>
  </si>
  <si>
    <t>Soma de Subscription Price</t>
  </si>
  <si>
    <t>Rótulos de Linha</t>
  </si>
  <si>
    <t>Total Geral</t>
  </si>
  <si>
    <t>SEGMENTO</t>
  </si>
  <si>
    <t xml:space="preserve"> SEM EA PASS /  SEM MINE PASS</t>
  </si>
  <si>
    <t xml:space="preserve"> SEM EA PASS / COM MINE PASS</t>
  </si>
  <si>
    <t>COM EA PASS / COM MINE PASS</t>
  </si>
  <si>
    <t>MINE PASS</t>
  </si>
  <si>
    <t>SEM EA E SEM MINE PASS</t>
  </si>
  <si>
    <t>COM EA E MINE PASS</t>
  </si>
  <si>
    <t/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</si>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</sst>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5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6"/>
      <color theme="6" tint="-0.499984740745262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8" borderId="2" xfId="0" applyFill="1" applyBorder="1"/>
    <xf numFmtId="164" fontId="0" fillId="0" borderId="0" xfId="0" applyNumberFormat="1"/>
    <xf numFmtId="0" fontId="0" fillId="0" borderId="0" xfId="0" quotePrefix="1"/>
    <xf numFmtId="0" fontId="0" fillId="9" borderId="0" xfId="0" applyFill="1"/>
    <xf numFmtId="0" fontId="4" fillId="0" borderId="0" xfId="0" applyFont="1" applyAlignment="1">
      <alignment horizontal="left"/>
    </xf>
  </cellXfs>
  <cellStyles count="3">
    <cellStyle name="Moeda" xfId="2" builtinId="4"/>
    <cellStyle name="Normal" xfId="0" builtinId="0"/>
    <cellStyle name="Título 1" xfId="1" builtinId="16"/>
  </cellStyles>
  <dxfs count="21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5BF6A8"/>
      <color rgb="FF9BC848"/>
      <color rgb="FF148236"/>
      <color rgb="FF22C55E"/>
      <color rgb="FFE8E6E9"/>
      <color rgb="FF000000"/>
      <color rgb="FFE0E0E0"/>
      <color rgb="FFEDEDED"/>
      <color rgb="FFF7F8FC"/>
      <color rgb="FF2AE6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[805d54f9-6d53-4246-bed7-4aa2da615923.xlsx]C̳álculos!Tabela dinâmica2</c:name>
    <c:fmtId val="7"/>
  </c:pivotSource>
  <c:chart>
    <c:autoTitleDeleted val="1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5BF6A8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8525415573053372"/>
          <c:y val="0.13828484981044034"/>
          <c:w val="0.48447010999902396"/>
          <c:h val="0.84319663167104109"/>
        </c:manualLayout>
      </c:layout>
      <c:doughnutChart>
        <c:varyColors val="1"/>
        <c:ser>
          <c:idx val="0"/>
          <c:order val="0"/>
          <c:tx>
            <c:strRef>
              <c:f>C̳álculos!$E$1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DE-4570-B53F-F21E11DD1B52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9DE-4570-B53F-F21E11DD1B52}"/>
              </c:ext>
            </c:extLst>
          </c:dPt>
          <c:dPt>
            <c:idx val="2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9DE-4570-B53F-F21E11DD1B52}"/>
              </c:ext>
            </c:extLst>
          </c:dPt>
          <c:dLbls>
            <c:spPr>
              <a:solidFill>
                <a:srgbClr val="5BF6A8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C̳álculos!$D$2:$D$5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C̳álculos!$E$2:$E$5</c:f>
              <c:numCache>
                <c:formatCode>0.00%</c:formatCode>
                <c:ptCount val="3"/>
                <c:pt idx="0">
                  <c:v>0.17206132879045996</c:v>
                </c:pt>
                <c:pt idx="1">
                  <c:v>0.3270868824531516</c:v>
                </c:pt>
                <c:pt idx="2">
                  <c:v>0.50085178875638836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DE-4570-B53F-F21E11DD1B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8"/>
        <c:holeSize val="5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[805d54f9-6d53-4246-bed7-4aa2da615923.xlsx]C̳álculos!Tabela dinâmica23</c:name>
    <c:fmtId val="3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2564102564102566E-2"/>
          <c:y val="0.39117944902556467"/>
          <c:w val="0.95487179487179485"/>
          <c:h val="0.458417067945247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C̳álculos!$Z$1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C̳álculos!$Y$2:$Y$14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C̳álculos!$Z$2:$Z$14</c:f>
              <c:numCache>
                <c:formatCode>"R$"\ #,##0.00</c:formatCode>
                <c:ptCount val="12"/>
                <c:pt idx="0">
                  <c:v>20</c:v>
                </c:pt>
                <c:pt idx="1">
                  <c:v>25</c:v>
                </c:pt>
                <c:pt idx="2">
                  <c:v>305</c:v>
                </c:pt>
                <c:pt idx="3">
                  <c:v>300</c:v>
                </c:pt>
                <c:pt idx="4">
                  <c:v>305</c:v>
                </c:pt>
                <c:pt idx="5">
                  <c:v>300</c:v>
                </c:pt>
                <c:pt idx="6">
                  <c:v>305</c:v>
                </c:pt>
                <c:pt idx="7">
                  <c:v>305</c:v>
                </c:pt>
                <c:pt idx="8">
                  <c:v>300</c:v>
                </c:pt>
                <c:pt idx="9">
                  <c:v>315</c:v>
                </c:pt>
                <c:pt idx="10">
                  <c:v>300</c:v>
                </c:pt>
                <c:pt idx="11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1F-40A7-A7B1-46C724142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0645456"/>
        <c:axId val="852118560"/>
      </c:barChart>
      <c:catAx>
        <c:axId val="100064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2118560"/>
        <c:crosses val="autoZero"/>
        <c:auto val="1"/>
        <c:lblAlgn val="ctr"/>
        <c:lblOffset val="100"/>
        <c:noMultiLvlLbl val="0"/>
      </c:catAx>
      <c:valAx>
        <c:axId val="852118560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00064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132840</xdr:colOff>
      <xdr:row>9</xdr:row>
      <xdr:rowOff>230469</xdr:rowOff>
    </xdr:from>
    <xdr:to>
      <xdr:col>7</xdr:col>
      <xdr:colOff>653936</xdr:colOff>
      <xdr:row>27</xdr:row>
      <xdr:rowOff>77755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8C518B-9C26-42CB-8E1E-AC96E157112F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</xdr:col>
      <xdr:colOff>0</xdr:colOff>
      <xdr:row>68</xdr:row>
      <xdr:rowOff>107156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78D9EC17-3D84-4DFC-B492-7B7AB9D89A2B}"/>
            </a:ext>
          </a:extLst>
        </xdr:cNvPr>
        <xdr:cNvSpPr/>
      </xdr:nvSpPr>
      <xdr:spPr>
        <a:xfrm>
          <a:off x="0" y="0"/>
          <a:ext cx="1524000" cy="12508706"/>
        </a:xfrm>
        <a:prstGeom prst="rect">
          <a:avLst/>
        </a:prstGeom>
        <a:solidFill>
          <a:srgbClr val="14823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121782</xdr:colOff>
      <xdr:row>9</xdr:row>
      <xdr:rowOff>60550</xdr:rowOff>
    </xdr:from>
    <xdr:to>
      <xdr:col>0</xdr:col>
      <xdr:colOff>1431470</xdr:colOff>
      <xdr:row>13</xdr:row>
      <xdr:rowOff>348683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CCAF0DFE-03ED-4961-A4CE-0304C4E924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782" y="1756000"/>
              <a:ext cx="1309688" cy="9644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1369850</xdr:colOff>
      <xdr:row>0</xdr:row>
      <xdr:rowOff>0</xdr:rowOff>
    </xdr:from>
    <xdr:to>
      <xdr:col>2</xdr:col>
      <xdr:colOff>684420</xdr:colOff>
      <xdr:row>6</xdr:row>
      <xdr:rowOff>145791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276A86FF-6B1C-44FA-97BC-02FB35682F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1003" b="3061"/>
        <a:stretch/>
      </xdr:blipFill>
      <xdr:spPr>
        <a:xfrm>
          <a:off x="1369850" y="0"/>
          <a:ext cx="1112657" cy="1185765"/>
        </a:xfrm>
        <a:prstGeom prst="rect">
          <a:avLst/>
        </a:prstGeom>
      </xdr:spPr>
    </xdr:pic>
    <xdr:clientData/>
  </xdr:twoCellAnchor>
  <xdr:twoCellAnchor>
    <xdr:from>
      <xdr:col>0</xdr:col>
      <xdr:colOff>133692</xdr:colOff>
      <xdr:row>7</xdr:row>
      <xdr:rowOff>205807</xdr:rowOff>
    </xdr:from>
    <xdr:to>
      <xdr:col>0</xdr:col>
      <xdr:colOff>1431472</xdr:colOff>
      <xdr:row>9</xdr:row>
      <xdr:rowOff>12925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BC5B0ECC-5956-42FC-99F4-7D4E106365F3}"/>
            </a:ext>
          </a:extLst>
        </xdr:cNvPr>
        <xdr:cNvSpPr/>
      </xdr:nvSpPr>
      <xdr:spPr>
        <a:xfrm>
          <a:off x="133692" y="1472632"/>
          <a:ext cx="1297780" cy="302418"/>
        </a:xfrm>
        <a:prstGeom prst="roundRect">
          <a:avLst/>
        </a:prstGeom>
        <a:solidFill>
          <a:srgbClr val="9BC848"/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</a:rPr>
            <a:t>Subscription Type</a:t>
          </a:r>
        </a:p>
      </xdr:txBody>
    </xdr:sp>
    <xdr:clientData/>
  </xdr:twoCellAnchor>
  <xdr:twoCellAnchor>
    <xdr:from>
      <xdr:col>1</xdr:col>
      <xdr:colOff>146847</xdr:colOff>
      <xdr:row>6</xdr:row>
      <xdr:rowOff>57547</xdr:rowOff>
    </xdr:from>
    <xdr:to>
      <xdr:col>7</xdr:col>
      <xdr:colOff>667940</xdr:colOff>
      <xdr:row>9</xdr:row>
      <xdr:rowOff>156482</xdr:rowOff>
    </xdr:to>
    <xdr:sp macro="" textlink="$AF$8">
      <xdr:nvSpPr>
        <xdr:cNvPr id="9" name="Retângulo: Cantos Arredondados 8">
          <a:extLst>
            <a:ext uri="{FF2B5EF4-FFF2-40B4-BE49-F238E27FC236}">
              <a16:creationId xmlns:a16="http://schemas.microsoft.com/office/drawing/2014/main" id="{EE25E1EC-45BB-4DAE-BB4C-2F3C6ACF5D5D}"/>
            </a:ext>
          </a:extLst>
        </xdr:cNvPr>
        <xdr:cNvSpPr/>
      </xdr:nvSpPr>
      <xdr:spPr>
        <a:xfrm>
          <a:off x="1670847" y="1143397"/>
          <a:ext cx="4226318" cy="775210"/>
        </a:xfrm>
        <a:prstGeom prst="roundRect">
          <a:avLst/>
        </a:prstGeom>
        <a:solidFill>
          <a:srgbClr val="9BC848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1">
              <a:solidFill>
                <a:schemeClr val="tx1"/>
              </a:solidFill>
              <a:latin typeface="+mn-lt"/>
              <a:ea typeface="+mn-ea"/>
              <a:cs typeface="+mn-cs"/>
            </a:rPr>
            <a:t>Subscription Price Geral</a:t>
          </a:r>
        </a:p>
        <a:p>
          <a:pPr marL="0" indent="0" algn="ctr"/>
          <a:fld id="{E7C87C9C-8FC5-4671-A19E-039704B20E18}" type="TxLink">
            <a:rPr lang="en-US" sz="2800" b="1">
              <a:solidFill>
                <a:schemeClr val="tx1"/>
              </a:solidFill>
              <a:latin typeface="+mn-lt"/>
              <a:ea typeface="+mn-ea"/>
              <a:cs typeface="+mn-cs"/>
            </a:rPr>
            <a:pPr marL="0" indent="0" algn="ctr"/>
            <a:t>R$ 2.935,00</a:t>
          </a:fld>
          <a:endParaRPr lang="pt-BR" sz="28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121545</xdr:colOff>
      <xdr:row>6</xdr:row>
      <xdr:rowOff>72925</xdr:rowOff>
    </xdr:from>
    <xdr:to>
      <xdr:col>11</xdr:col>
      <xdr:colOff>21187</xdr:colOff>
      <xdr:row>9</xdr:row>
      <xdr:rowOff>147539</xdr:rowOff>
    </xdr:to>
    <xdr:sp macro="" textlink="$AF$11">
      <xdr:nvSpPr>
        <xdr:cNvPr id="16" name="Retângulo: Cantos Arredondados 15">
          <a:extLst>
            <a:ext uri="{FF2B5EF4-FFF2-40B4-BE49-F238E27FC236}">
              <a16:creationId xmlns:a16="http://schemas.microsoft.com/office/drawing/2014/main" id="{819B475A-0E2E-4170-9E99-66BD5C153E9B}"/>
            </a:ext>
          </a:extLst>
        </xdr:cNvPr>
        <xdr:cNvSpPr/>
      </xdr:nvSpPr>
      <xdr:spPr>
        <a:xfrm>
          <a:off x="6060091" y="1112899"/>
          <a:ext cx="1969872" cy="754972"/>
        </a:xfrm>
        <a:prstGeom prst="roundRect">
          <a:avLst/>
        </a:prstGeom>
        <a:solidFill>
          <a:srgbClr val="9BC848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9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t>With</a:t>
          </a:r>
          <a:r>
            <a:rPr lang="en-US" sz="900" b="1" i="0" u="none" strike="noStrike" baseline="0">
              <a:solidFill>
                <a:srgbClr val="000000"/>
              </a:solidFill>
              <a:latin typeface="Aptos Narrow"/>
              <a:ea typeface="+mn-ea"/>
              <a:cs typeface="+mn-cs"/>
            </a:rPr>
            <a:t> EA and Minecraf Sub Pass</a:t>
          </a:r>
          <a:endParaRPr lang="en-US" sz="9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  <a:p>
          <a:pPr marL="0" indent="0" algn="ctr"/>
          <a:fld id="{74A25FFB-55F1-46CF-9C7F-9ACD49E1C120}" type="TxLink">
            <a:rPr lang="en-US" sz="2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R$ 1.470,00</a:t>
          </a:fld>
          <a:endParaRPr lang="en-US" sz="2400" b="1" i="0" u="none" strike="noStrike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118692</xdr:colOff>
      <xdr:row>6</xdr:row>
      <xdr:rowOff>64268</xdr:rowOff>
    </xdr:from>
    <xdr:to>
      <xdr:col>14</xdr:col>
      <xdr:colOff>270588</xdr:colOff>
      <xdr:row>9</xdr:row>
      <xdr:rowOff>143074</xdr:rowOff>
    </xdr:to>
    <xdr:sp macro="" textlink="$AF$9">
      <xdr:nvSpPr>
        <xdr:cNvPr id="17" name="Retângulo: Cantos Arredondados 16">
          <a:extLst>
            <a:ext uri="{FF2B5EF4-FFF2-40B4-BE49-F238E27FC236}">
              <a16:creationId xmlns:a16="http://schemas.microsoft.com/office/drawing/2014/main" id="{158D5E19-491A-4EC9-8739-6225FDA05A1D}"/>
            </a:ext>
          </a:extLst>
        </xdr:cNvPr>
        <xdr:cNvSpPr/>
      </xdr:nvSpPr>
      <xdr:spPr>
        <a:xfrm>
          <a:off x="8127468" y="1104242"/>
          <a:ext cx="2037457" cy="759164"/>
        </a:xfrm>
        <a:prstGeom prst="roundRect">
          <a:avLst/>
        </a:prstGeom>
        <a:solidFill>
          <a:srgbClr val="9BC848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50" b="1">
              <a:solidFill>
                <a:schemeClr val="tx1"/>
              </a:solidFill>
              <a:latin typeface="+mn-lt"/>
              <a:ea typeface="+mn-ea"/>
              <a:cs typeface="+mn-cs"/>
            </a:rPr>
            <a:t>Sub Price Minecraft Pass</a:t>
          </a:r>
        </a:p>
        <a:p>
          <a:pPr marL="0" indent="0" algn="ctr"/>
          <a:fld id="{0E99CD4C-24AF-499B-AB75-A43A46121061}" type="TxLink">
            <a:rPr lang="en-US" sz="2400" b="1">
              <a:solidFill>
                <a:schemeClr val="tx1"/>
              </a:solidFill>
              <a:latin typeface="+mn-lt"/>
              <a:ea typeface="+mn-ea"/>
              <a:cs typeface="+mn-cs"/>
            </a:rPr>
            <a:pPr marL="0" indent="0" algn="ctr"/>
            <a:t>R$ 960,00</a:t>
          </a:fld>
          <a:endParaRPr lang="en-US" sz="24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347101</xdr:colOff>
      <xdr:row>6</xdr:row>
      <xdr:rowOff>60767</xdr:rowOff>
    </xdr:from>
    <xdr:to>
      <xdr:col>17</xdr:col>
      <xdr:colOff>303830</xdr:colOff>
      <xdr:row>9</xdr:row>
      <xdr:rowOff>155508</xdr:rowOff>
    </xdr:to>
    <xdr:sp macro="" textlink="$AF$10">
      <xdr:nvSpPr>
        <xdr:cNvPr id="18" name="Retângulo: Cantos Arredondados 17">
          <a:extLst>
            <a:ext uri="{FF2B5EF4-FFF2-40B4-BE49-F238E27FC236}">
              <a16:creationId xmlns:a16="http://schemas.microsoft.com/office/drawing/2014/main" id="{C526B20F-E1FA-4202-BD21-78ADA0BB9831}"/>
            </a:ext>
          </a:extLst>
        </xdr:cNvPr>
        <xdr:cNvSpPr/>
      </xdr:nvSpPr>
      <xdr:spPr>
        <a:xfrm>
          <a:off x="10241438" y="1100741"/>
          <a:ext cx="2026958" cy="775099"/>
        </a:xfrm>
        <a:prstGeom prst="roundRect">
          <a:avLst/>
        </a:prstGeom>
        <a:solidFill>
          <a:srgbClr val="9BC848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2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t>Without</a:t>
          </a:r>
          <a:r>
            <a:rPr lang="en-US" sz="1200" b="1" i="0" u="none" strike="noStrike" baseline="0">
              <a:solidFill>
                <a:srgbClr val="000000"/>
              </a:solidFill>
              <a:latin typeface="Aptos Narrow"/>
              <a:ea typeface="+mn-ea"/>
              <a:cs typeface="+mn-cs"/>
            </a:rPr>
            <a:t> Sub</a:t>
          </a:r>
          <a:endParaRPr lang="en-US" sz="12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  <a:p>
          <a:pPr marL="0" indent="0" algn="ctr"/>
          <a:fld id="{CA8B91F2-A8F8-4080-A03F-20AD66B6F901}" type="TxLink">
            <a:rPr lang="en-US" sz="2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R$ 505,00</a:t>
          </a:fld>
          <a:endParaRPr lang="pt-BR" sz="24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342900</xdr:colOff>
      <xdr:row>1</xdr:row>
      <xdr:rowOff>28575</xdr:rowOff>
    </xdr:from>
    <xdr:to>
      <xdr:col>0</xdr:col>
      <xdr:colOff>1285875</xdr:colOff>
      <xdr:row>5</xdr:row>
      <xdr:rowOff>152400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F5D99154-FDA1-4454-A951-953FD3A3E68E}"/>
            </a:ext>
          </a:extLst>
        </xdr:cNvPr>
        <xdr:cNvSpPr/>
      </xdr:nvSpPr>
      <xdr:spPr>
        <a:xfrm>
          <a:off x="342900" y="209550"/>
          <a:ext cx="942975" cy="847725"/>
        </a:xfrm>
        <a:prstGeom prst="ellipse">
          <a:avLst/>
        </a:prstGeom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66675</xdr:colOff>
      <xdr:row>6</xdr:row>
      <xdr:rowOff>125186</xdr:rowOff>
    </xdr:from>
    <xdr:to>
      <xdr:col>1</xdr:col>
      <xdr:colOff>121104</xdr:colOff>
      <xdr:row>7</xdr:row>
      <xdr:rowOff>173611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3490A128-F073-4943-8DA8-695FE9CAB9FE}"/>
            </a:ext>
          </a:extLst>
        </xdr:cNvPr>
        <xdr:cNvSpPr/>
      </xdr:nvSpPr>
      <xdr:spPr>
        <a:xfrm>
          <a:off x="66675" y="1143000"/>
          <a:ext cx="1578429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...Bem</a:t>
          </a:r>
          <a:r>
            <a:rPr lang="pt-BR" sz="1100" b="1" kern="1200" baseline="0"/>
            <a:t> vindo, Gabriel!</a:t>
          </a:r>
          <a:endParaRPr lang="pt-BR" sz="1100" b="1" kern="1200"/>
        </a:p>
      </xdr:txBody>
    </xdr:sp>
    <xdr:clientData/>
  </xdr:twoCellAnchor>
  <xdr:twoCellAnchor>
    <xdr:from>
      <xdr:col>8</xdr:col>
      <xdr:colOff>76200</xdr:colOff>
      <xdr:row>10</xdr:row>
      <xdr:rowOff>11906</xdr:rowOff>
    </xdr:from>
    <xdr:to>
      <xdr:col>17</xdr:col>
      <xdr:colOff>276225</xdr:colOff>
      <xdr:row>27</xdr:row>
      <xdr:rowOff>58317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9027C978-D2DD-4586-ABBD-63871B6A22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0.01653</cdr:x>
      <cdr:y>0.01933</cdr:y>
    </cdr:from>
    <cdr:to>
      <cdr:x>0.75575</cdr:x>
      <cdr:y>0.07731</cdr:y>
    </cdr:to>
    <cdr:sp macro="" textlink="">
      <cdr:nvSpPr>
        <cdr:cNvPr id="3" name="Retângulo: Cantos Arredondados 2">
          <a:extLst xmlns:a="http://schemas.openxmlformats.org/drawingml/2006/main">
            <a:ext uri="{FF2B5EF4-FFF2-40B4-BE49-F238E27FC236}">
              <a16:creationId xmlns:a16="http://schemas.microsoft.com/office/drawing/2014/main" id="{D7E50390-740B-43DD-B516-FFFE7C899CBE}"/>
            </a:ext>
          </a:extLst>
        </cdr:cNvPr>
        <cdr:cNvSpPr/>
      </cdr:nvSpPr>
      <cdr:spPr>
        <a:xfrm xmlns:a="http://schemas.openxmlformats.org/drawingml/2006/main">
          <a:off x="69850" y="69850"/>
          <a:ext cx="3124200" cy="20955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9BC848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b="1"/>
            <a:t>Plan Subscriptions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0.01231</cdr:x>
      <cdr:y>0.01575</cdr:y>
    </cdr:from>
    <cdr:to>
      <cdr:x>0.51692</cdr:x>
      <cdr:y>0.07349</cdr:y>
    </cdr:to>
    <cdr:sp macro="" textlink="">
      <cdr:nvSpPr>
        <cdr:cNvPr id="2" name="Retângulo: Cantos Arredondados 1">
          <a:extLst xmlns:a="http://schemas.openxmlformats.org/drawingml/2006/main">
            <a:ext uri="{FF2B5EF4-FFF2-40B4-BE49-F238E27FC236}">
              <a16:creationId xmlns:a16="http://schemas.microsoft.com/office/drawing/2014/main" id="{7E3CDD7E-45AA-4C4B-9B74-5A9F4A65E1FA}"/>
            </a:ext>
          </a:extLst>
        </cdr:cNvPr>
        <cdr:cNvSpPr/>
      </cdr:nvSpPr>
      <cdr:spPr>
        <a:xfrm xmlns:a="http://schemas.openxmlformats.org/drawingml/2006/main">
          <a:off x="76200" y="57150"/>
          <a:ext cx="3124200" cy="20955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9BC848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pt-BR" b="1"/>
            <a:t>Monthly Subscriptions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S" refreshedDate="45720.550913078703" createdVersion="6" refreshedVersion="6" minRefreshableVersion="3" recordCount="295" xr:uid="{45FC5E04-D88D-47B3-9A55-E0C488B81336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SEGMENTO" numFmtId="44">
      <sharedItems count="3">
        <s v="COM EA PASS / COM MINE PASS"/>
        <s v=" SEM EA PASS /  SEM MINE PASS"/>
        <s v=" SEM EA PASS / COM MINE PASS"/>
      </sharedItems>
    </cacheField>
    <cacheField name="Meses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1973382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s v="Yes"/>
    <n v="15"/>
    <x v="0"/>
    <s v="Yes"/>
    <n v="30"/>
    <s v="Yes"/>
    <n v="20"/>
    <n v="5"/>
    <n v="60"/>
    <x v="0"/>
  </r>
  <r>
    <n v="3232"/>
    <s v="Maria Oliveira"/>
    <x v="1"/>
    <x v="1"/>
    <s v="No"/>
    <n v="5"/>
    <x v="1"/>
    <s v="No"/>
    <s v="-"/>
    <s v="No"/>
    <n v="0"/>
    <n v="0"/>
    <n v="5"/>
    <x v="1"/>
  </r>
  <r>
    <n v="3233"/>
    <s v="Lucas Fernandes"/>
    <x v="2"/>
    <x v="2"/>
    <s v="Yes"/>
    <n v="10"/>
    <x v="2"/>
    <s v="No"/>
    <s v="-"/>
    <s v="Yes"/>
    <n v="20"/>
    <n v="10"/>
    <n v="20"/>
    <x v="2"/>
  </r>
  <r>
    <n v="3234"/>
    <s v="Ana Souza"/>
    <x v="0"/>
    <x v="3"/>
    <s v="No"/>
    <n v="15"/>
    <x v="0"/>
    <s v="Yes"/>
    <n v="30"/>
    <s v="Yes"/>
    <n v="20"/>
    <n v="3"/>
    <n v="62"/>
    <x v="0"/>
  </r>
  <r>
    <n v="3235"/>
    <s v="Pedro Gonçalves"/>
    <x v="1"/>
    <x v="4"/>
    <s v="Yes"/>
    <n v="5"/>
    <x v="0"/>
    <s v="No"/>
    <s v="-"/>
    <s v="No"/>
    <n v="0"/>
    <n v="1"/>
    <n v="4"/>
    <x v="1"/>
  </r>
  <r>
    <n v="3236"/>
    <s v="Felipe Costa"/>
    <x v="2"/>
    <x v="5"/>
    <s v="No"/>
    <n v="10"/>
    <x v="0"/>
    <s v="No"/>
    <s v="-"/>
    <s v="Yes"/>
    <n v="20"/>
    <n v="2"/>
    <n v="28"/>
    <x v="2"/>
  </r>
  <r>
    <n v="3237"/>
    <s v="Camila Ribeiro"/>
    <x v="0"/>
    <x v="6"/>
    <s v="Yes"/>
    <n v="15"/>
    <x v="2"/>
    <s v="Yes"/>
    <n v="30"/>
    <s v="Yes"/>
    <n v="20"/>
    <n v="10"/>
    <n v="55"/>
    <x v="0"/>
  </r>
  <r>
    <n v="3238"/>
    <s v="André Mendes"/>
    <x v="1"/>
    <x v="7"/>
    <s v="Yes"/>
    <n v="5"/>
    <x v="1"/>
    <s v="No"/>
    <s v="-"/>
    <s v="No"/>
    <n v="0"/>
    <n v="0"/>
    <n v="5"/>
    <x v="1"/>
  </r>
  <r>
    <n v="3239"/>
    <s v="Sofia Almeida"/>
    <x v="0"/>
    <x v="4"/>
    <s v="No"/>
    <n v="15"/>
    <x v="0"/>
    <s v="Yes"/>
    <n v="30"/>
    <s v="Yes"/>
    <n v="20"/>
    <n v="5"/>
    <n v="60"/>
    <x v="0"/>
  </r>
  <r>
    <n v="3240"/>
    <s v="Bruno Martins"/>
    <x v="2"/>
    <x v="8"/>
    <s v="Yes"/>
    <n v="10"/>
    <x v="2"/>
    <s v="No"/>
    <s v="-"/>
    <s v="Yes"/>
    <n v="20"/>
    <n v="15"/>
    <n v="15"/>
    <x v="2"/>
  </r>
  <r>
    <n v="3241"/>
    <s v="Rita Castro"/>
    <x v="1"/>
    <x v="9"/>
    <s v="No"/>
    <n v="5"/>
    <x v="0"/>
    <s v="No"/>
    <s v="-"/>
    <s v="No"/>
    <n v="0"/>
    <n v="1"/>
    <n v="4"/>
    <x v="1"/>
  </r>
  <r>
    <n v="3242"/>
    <s v="Marco Túlio"/>
    <x v="0"/>
    <x v="10"/>
    <s v="Yes"/>
    <n v="15"/>
    <x v="1"/>
    <s v="Yes"/>
    <n v="30"/>
    <s v="Yes"/>
    <n v="20"/>
    <n v="20"/>
    <n v="45"/>
    <x v="0"/>
  </r>
  <r>
    <n v="3243"/>
    <s v="Lívia Silveira"/>
    <x v="2"/>
    <x v="11"/>
    <s v="No"/>
    <n v="10"/>
    <x v="0"/>
    <s v="No"/>
    <s v="-"/>
    <s v="Yes"/>
    <n v="20"/>
    <n v="10"/>
    <n v="20"/>
    <x v="2"/>
  </r>
  <r>
    <n v="3244"/>
    <s v="Diogo Sousa"/>
    <x v="1"/>
    <x v="12"/>
    <s v="Yes"/>
    <n v="5"/>
    <x v="2"/>
    <s v="No"/>
    <s v="-"/>
    <s v="No"/>
    <n v="0"/>
    <n v="0"/>
    <n v="5"/>
    <x v="1"/>
  </r>
  <r>
    <n v="3245"/>
    <s v="Fernanda Lima"/>
    <x v="0"/>
    <x v="13"/>
    <s v="No"/>
    <n v="15"/>
    <x v="0"/>
    <s v="Yes"/>
    <n v="30"/>
    <s v="Yes"/>
    <n v="20"/>
    <n v="8"/>
    <n v="57"/>
    <x v="0"/>
  </r>
  <r>
    <n v="3246"/>
    <s v="Caio Pereira"/>
    <x v="2"/>
    <x v="14"/>
    <s v="Yes"/>
    <n v="10"/>
    <x v="1"/>
    <s v="No"/>
    <s v="-"/>
    <s v="Yes"/>
    <n v="20"/>
    <n v="12"/>
    <n v="18"/>
    <x v="2"/>
  </r>
  <r>
    <n v="3247"/>
    <s v="Beatriz Gomes"/>
    <x v="1"/>
    <x v="15"/>
    <s v="No"/>
    <n v="5"/>
    <x v="0"/>
    <s v="No"/>
    <s v="-"/>
    <s v="No"/>
    <n v="0"/>
    <n v="2"/>
    <n v="3"/>
    <x v="1"/>
  </r>
  <r>
    <n v="3248"/>
    <s v="Cesar Oliveira"/>
    <x v="0"/>
    <x v="16"/>
    <s v="Yes"/>
    <n v="15"/>
    <x v="2"/>
    <s v="Yes"/>
    <n v="30"/>
    <s v="Yes"/>
    <n v="20"/>
    <n v="7"/>
    <n v="58"/>
    <x v="0"/>
  </r>
  <r>
    <n v="3249"/>
    <s v="Débora Machado"/>
    <x v="2"/>
    <x v="17"/>
    <s v="No"/>
    <n v="10"/>
    <x v="0"/>
    <s v="No"/>
    <s v="-"/>
    <s v="Yes"/>
    <n v="20"/>
    <n v="5"/>
    <n v="25"/>
    <x v="2"/>
  </r>
  <r>
    <n v="3250"/>
    <s v="Eduardo Vargas"/>
    <x v="1"/>
    <x v="18"/>
    <s v="Yes"/>
    <n v="5"/>
    <x v="1"/>
    <s v="No"/>
    <s v="-"/>
    <s v="No"/>
    <n v="0"/>
    <n v="0"/>
    <n v="5"/>
    <x v="1"/>
  </r>
  <r>
    <n v="3251"/>
    <s v="Gabriela Santos"/>
    <x v="0"/>
    <x v="19"/>
    <s v="No"/>
    <n v="15"/>
    <x v="0"/>
    <s v="Yes"/>
    <n v="30"/>
    <s v="Yes"/>
    <n v="20"/>
    <n v="3"/>
    <n v="62"/>
    <x v="0"/>
  </r>
  <r>
    <n v="3252"/>
    <s v="Henrique Dias"/>
    <x v="2"/>
    <x v="20"/>
    <s v="Yes"/>
    <n v="10"/>
    <x v="2"/>
    <s v="No"/>
    <s v="-"/>
    <s v="Yes"/>
    <n v="20"/>
    <n v="15"/>
    <n v="15"/>
    <x v="2"/>
  </r>
  <r>
    <n v="3253"/>
    <s v="Isabela Moreira"/>
    <x v="1"/>
    <x v="21"/>
    <s v="No"/>
    <n v="5"/>
    <x v="0"/>
    <s v="No"/>
    <s v="-"/>
    <s v="No"/>
    <n v="0"/>
    <n v="1"/>
    <n v="4"/>
    <x v="1"/>
  </r>
  <r>
    <n v="3254"/>
    <s v="Joaquim Barbosa"/>
    <x v="0"/>
    <x v="22"/>
    <s v="Yes"/>
    <n v="15"/>
    <x v="1"/>
    <s v="Yes"/>
    <n v="30"/>
    <s v="Yes"/>
    <n v="20"/>
    <n v="20"/>
    <n v="45"/>
    <x v="0"/>
  </r>
  <r>
    <n v="3255"/>
    <s v="Lara Rocha"/>
    <x v="2"/>
    <x v="23"/>
    <s v="No"/>
    <n v="10"/>
    <x v="0"/>
    <s v="No"/>
    <s v="-"/>
    <s v="Yes"/>
    <n v="20"/>
    <n v="10"/>
    <n v="20"/>
    <x v="2"/>
  </r>
  <r>
    <n v="3256"/>
    <s v="Matheus Silva"/>
    <x v="1"/>
    <x v="24"/>
    <s v="Yes"/>
    <n v="5"/>
    <x v="2"/>
    <s v="No"/>
    <s v="-"/>
    <s v="No"/>
    <n v="0"/>
    <n v="0"/>
    <n v="5"/>
    <x v="1"/>
  </r>
  <r>
    <n v="3257"/>
    <s v="Nicole Costa"/>
    <x v="0"/>
    <x v="25"/>
    <s v="No"/>
    <n v="15"/>
    <x v="0"/>
    <s v="Yes"/>
    <n v="30"/>
    <s v="Yes"/>
    <n v="20"/>
    <n v="5"/>
    <n v="60"/>
    <x v="0"/>
  </r>
  <r>
    <n v="3258"/>
    <s v="Otávio Mendonça"/>
    <x v="2"/>
    <x v="26"/>
    <s v="Yes"/>
    <n v="10"/>
    <x v="1"/>
    <s v="No"/>
    <s v="-"/>
    <s v="Yes"/>
    <n v="20"/>
    <n v="15"/>
    <n v="15"/>
    <x v="2"/>
  </r>
  <r>
    <n v="3259"/>
    <s v="Paula Ferreira"/>
    <x v="1"/>
    <x v="27"/>
    <s v="No"/>
    <n v="5"/>
    <x v="0"/>
    <s v="No"/>
    <s v="-"/>
    <s v="No"/>
    <n v="0"/>
    <n v="1"/>
    <n v="4"/>
    <x v="1"/>
  </r>
  <r>
    <n v="3260"/>
    <s v="Raquel Alves"/>
    <x v="0"/>
    <x v="28"/>
    <s v="Yes"/>
    <n v="15"/>
    <x v="2"/>
    <s v="Yes"/>
    <n v="30"/>
    <s v="Yes"/>
    <n v="20"/>
    <n v="7"/>
    <n v="58"/>
    <x v="0"/>
  </r>
  <r>
    <n v="3261"/>
    <s v="Samuel Pires"/>
    <x v="2"/>
    <x v="29"/>
    <s v="No"/>
    <n v="10"/>
    <x v="0"/>
    <s v="No"/>
    <s v="-"/>
    <s v="Yes"/>
    <n v="20"/>
    <n v="10"/>
    <n v="20"/>
    <x v="2"/>
  </r>
  <r>
    <n v="3262"/>
    <s v="Tânia Barros"/>
    <x v="1"/>
    <x v="30"/>
    <s v="Yes"/>
    <n v="5"/>
    <x v="1"/>
    <s v="No"/>
    <s v="-"/>
    <s v="No"/>
    <n v="0"/>
    <n v="0"/>
    <n v="5"/>
    <x v="1"/>
  </r>
  <r>
    <n v="3263"/>
    <s v="Vinicius Lima"/>
    <x v="0"/>
    <x v="31"/>
    <s v="No"/>
    <n v="15"/>
    <x v="0"/>
    <s v="Yes"/>
    <n v="30"/>
    <s v="Yes"/>
    <n v="20"/>
    <n v="3"/>
    <n v="62"/>
    <x v="0"/>
  </r>
  <r>
    <n v="3264"/>
    <s v="Yasmin Teixeira"/>
    <x v="2"/>
    <x v="32"/>
    <s v="Yes"/>
    <n v="10"/>
    <x v="2"/>
    <s v="No"/>
    <s v="-"/>
    <s v="Yes"/>
    <n v="20"/>
    <n v="15"/>
    <n v="15"/>
    <x v="2"/>
  </r>
  <r>
    <n v="3265"/>
    <s v="Zé Carlos"/>
    <x v="1"/>
    <x v="33"/>
    <s v="No"/>
    <n v="5"/>
    <x v="0"/>
    <s v="No"/>
    <s v="-"/>
    <s v="No"/>
    <n v="0"/>
    <n v="1"/>
    <n v="4"/>
    <x v="1"/>
  </r>
  <r>
    <n v="3266"/>
    <s v="Amanda Nogueira"/>
    <x v="1"/>
    <x v="34"/>
    <s v="Yes"/>
    <n v="5"/>
    <x v="0"/>
    <s v="No"/>
    <s v="-"/>
    <s v="No"/>
    <n v="0"/>
    <n v="0"/>
    <n v="5"/>
    <x v="1"/>
  </r>
  <r>
    <n v="3267"/>
    <s v="Bruno Cavalheiro"/>
    <x v="0"/>
    <x v="35"/>
    <s v="No"/>
    <n v="15"/>
    <x v="2"/>
    <s v="Yes"/>
    <n v="30"/>
    <s v="Yes"/>
    <n v="20"/>
    <n v="7"/>
    <n v="58"/>
    <x v="0"/>
  </r>
  <r>
    <n v="3268"/>
    <s v="Carla Dias"/>
    <x v="2"/>
    <x v="36"/>
    <s v="Yes"/>
    <n v="10"/>
    <x v="1"/>
    <s v="No"/>
    <s v="-"/>
    <s v="Yes"/>
    <n v="20"/>
    <n v="10"/>
    <n v="20"/>
    <x v="2"/>
  </r>
  <r>
    <n v="3269"/>
    <s v="Diego Fontes"/>
    <x v="1"/>
    <x v="37"/>
    <s v="No"/>
    <n v="5"/>
    <x v="2"/>
    <s v="No"/>
    <s v="-"/>
    <s v="No"/>
    <n v="0"/>
    <n v="1"/>
    <n v="4"/>
    <x v="1"/>
  </r>
  <r>
    <n v="3270"/>
    <s v="Eunice Lima"/>
    <x v="0"/>
    <x v="38"/>
    <s v="Yes"/>
    <n v="15"/>
    <x v="0"/>
    <s v="Yes"/>
    <n v="30"/>
    <s v="Yes"/>
    <n v="20"/>
    <n v="15"/>
    <n v="50"/>
    <x v="0"/>
  </r>
  <r>
    <n v="3271"/>
    <s v="Fábio Martins"/>
    <x v="2"/>
    <x v="39"/>
    <s v="No"/>
    <n v="10"/>
    <x v="0"/>
    <s v="No"/>
    <s v="-"/>
    <s v="Yes"/>
    <n v="20"/>
    <n v="5"/>
    <n v="25"/>
    <x v="2"/>
  </r>
  <r>
    <n v="3272"/>
    <s v="Gisele Araújo"/>
    <x v="1"/>
    <x v="40"/>
    <s v="Yes"/>
    <n v="5"/>
    <x v="1"/>
    <s v="No"/>
    <s v="-"/>
    <s v="No"/>
    <n v="0"/>
    <n v="0"/>
    <n v="5"/>
    <x v="1"/>
  </r>
  <r>
    <n v="3273"/>
    <s v="Hélio Castro"/>
    <x v="0"/>
    <x v="41"/>
    <s v="No"/>
    <n v="15"/>
    <x v="2"/>
    <s v="Yes"/>
    <n v="30"/>
    <s v="Yes"/>
    <n v="20"/>
    <n v="20"/>
    <n v="45"/>
    <x v="0"/>
  </r>
  <r>
    <n v="3274"/>
    <s v="Ingrid Menezes"/>
    <x v="2"/>
    <x v="42"/>
    <s v="Yes"/>
    <n v="10"/>
    <x v="2"/>
    <s v="No"/>
    <s v="-"/>
    <s v="Yes"/>
    <n v="20"/>
    <n v="12"/>
    <n v="18"/>
    <x v="2"/>
  </r>
  <r>
    <n v="3275"/>
    <s v="Jorge Baptista"/>
    <x v="1"/>
    <x v="43"/>
    <s v="No"/>
    <n v="5"/>
    <x v="0"/>
    <s v="No"/>
    <s v="-"/>
    <s v="No"/>
    <n v="0"/>
    <n v="2"/>
    <n v="3"/>
    <x v="1"/>
  </r>
  <r>
    <n v="3276"/>
    <s v="Kléber Oliveira"/>
    <x v="0"/>
    <x v="44"/>
    <s v="Yes"/>
    <n v="15"/>
    <x v="1"/>
    <s v="Yes"/>
    <n v="30"/>
    <s v="Yes"/>
    <n v="20"/>
    <n v="5"/>
    <n v="60"/>
    <x v="0"/>
  </r>
  <r>
    <n v="3277"/>
    <s v="Luciana Freitas"/>
    <x v="2"/>
    <x v="45"/>
    <s v="No"/>
    <n v="10"/>
    <x v="0"/>
    <s v="No"/>
    <s v="-"/>
    <s v="Yes"/>
    <n v="20"/>
    <n v="10"/>
    <n v="20"/>
    <x v="2"/>
  </r>
  <r>
    <n v="3278"/>
    <s v="Márcia Eller"/>
    <x v="1"/>
    <x v="46"/>
    <s v="Yes"/>
    <n v="5"/>
    <x v="2"/>
    <s v="No"/>
    <s v="-"/>
    <s v="No"/>
    <n v="0"/>
    <n v="0"/>
    <n v="5"/>
    <x v="1"/>
  </r>
  <r>
    <n v="3279"/>
    <s v="Nilo Peçanha"/>
    <x v="0"/>
    <x v="47"/>
    <s v="No"/>
    <n v="15"/>
    <x v="0"/>
    <s v="Yes"/>
    <n v="30"/>
    <s v="Yes"/>
    <n v="20"/>
    <n v="3"/>
    <n v="62"/>
    <x v="0"/>
  </r>
  <r>
    <n v="3280"/>
    <s v="Oscar Neves"/>
    <x v="2"/>
    <x v="48"/>
    <s v="Yes"/>
    <n v="10"/>
    <x v="1"/>
    <s v="No"/>
    <s v="-"/>
    <s v="Yes"/>
    <n v="20"/>
    <n v="15"/>
    <n v="15"/>
    <x v="2"/>
  </r>
  <r>
    <n v="3281"/>
    <s v="Patrícia Soares"/>
    <x v="1"/>
    <x v="49"/>
    <s v="No"/>
    <n v="5"/>
    <x v="0"/>
    <s v="No"/>
    <s v="-"/>
    <s v="No"/>
    <n v="0"/>
    <n v="1"/>
    <n v="4"/>
    <x v="1"/>
  </r>
  <r>
    <n v="3282"/>
    <s v="Quirino Gonçalves"/>
    <x v="0"/>
    <x v="50"/>
    <s v="Yes"/>
    <n v="15"/>
    <x v="2"/>
    <s v="Yes"/>
    <n v="30"/>
    <s v="Yes"/>
    <n v="20"/>
    <n v="7"/>
    <n v="58"/>
    <x v="0"/>
  </r>
  <r>
    <n v="3283"/>
    <s v="Raul Machado"/>
    <x v="2"/>
    <x v="51"/>
    <s v="No"/>
    <n v="10"/>
    <x v="0"/>
    <s v="No"/>
    <s v="-"/>
    <s v="Yes"/>
    <n v="20"/>
    <n v="10"/>
    <n v="20"/>
    <x v="2"/>
  </r>
  <r>
    <n v="3284"/>
    <s v="Sônia Lobo"/>
    <x v="1"/>
    <x v="52"/>
    <s v="Yes"/>
    <n v="5"/>
    <x v="1"/>
    <s v="No"/>
    <s v="-"/>
    <s v="No"/>
    <n v="0"/>
    <n v="0"/>
    <n v="5"/>
    <x v="1"/>
  </r>
  <r>
    <n v="3285"/>
    <s v="Tiago Ramos"/>
    <x v="0"/>
    <x v="53"/>
    <s v="No"/>
    <n v="15"/>
    <x v="0"/>
    <s v="Yes"/>
    <n v="30"/>
    <s v="Yes"/>
    <n v="20"/>
    <n v="20"/>
    <n v="45"/>
    <x v="0"/>
  </r>
  <r>
    <n v="3286"/>
    <s v="Ugo Pires"/>
    <x v="2"/>
    <x v="54"/>
    <s v="Yes"/>
    <n v="10"/>
    <x v="2"/>
    <s v="No"/>
    <s v="-"/>
    <s v="Yes"/>
    <n v="20"/>
    <n v="15"/>
    <n v="15"/>
    <x v="2"/>
  </r>
  <r>
    <n v="3287"/>
    <s v="Valéria Nobre"/>
    <x v="1"/>
    <x v="55"/>
    <s v="No"/>
    <n v="5"/>
    <x v="0"/>
    <s v="No"/>
    <s v="-"/>
    <s v="No"/>
    <n v="0"/>
    <n v="1"/>
    <n v="4"/>
    <x v="1"/>
  </r>
  <r>
    <n v="3288"/>
    <s v="William Siqueira"/>
    <x v="0"/>
    <x v="56"/>
    <s v="Yes"/>
    <n v="15"/>
    <x v="1"/>
    <s v="Yes"/>
    <n v="30"/>
    <s v="Yes"/>
    <n v="20"/>
    <n v="3"/>
    <n v="62"/>
    <x v="0"/>
  </r>
  <r>
    <n v="3289"/>
    <s v="Xuxa Meneghel"/>
    <x v="2"/>
    <x v="57"/>
    <s v="No"/>
    <n v="10"/>
    <x v="0"/>
    <s v="No"/>
    <s v="-"/>
    <s v="Yes"/>
    <n v="20"/>
    <n v="10"/>
    <n v="20"/>
    <x v="2"/>
  </r>
  <r>
    <n v="3290"/>
    <s v="Yara Figueiredo"/>
    <x v="1"/>
    <x v="58"/>
    <s v="Yes"/>
    <n v="5"/>
    <x v="2"/>
    <s v="No"/>
    <s v="-"/>
    <s v="No"/>
    <n v="0"/>
    <n v="0"/>
    <n v="5"/>
    <x v="1"/>
  </r>
  <r>
    <n v="3291"/>
    <s v="Zacarias Alves"/>
    <x v="0"/>
    <x v="59"/>
    <s v="No"/>
    <n v="15"/>
    <x v="0"/>
    <s v="Yes"/>
    <n v="30"/>
    <s v="Yes"/>
    <n v="20"/>
    <n v="5"/>
    <n v="60"/>
    <x v="0"/>
  </r>
  <r>
    <n v="3292"/>
    <s v="Amanda Bynes"/>
    <x v="2"/>
    <x v="60"/>
    <s v="Yes"/>
    <n v="10"/>
    <x v="1"/>
    <s v="No"/>
    <s v="-"/>
    <s v="Yes"/>
    <n v="20"/>
    <n v="15"/>
    <n v="15"/>
    <x v="2"/>
  </r>
  <r>
    <n v="3293"/>
    <s v="Bruno Mars"/>
    <x v="1"/>
    <x v="61"/>
    <s v="No"/>
    <n v="5"/>
    <x v="0"/>
    <s v="No"/>
    <s v="-"/>
    <s v="No"/>
    <n v="0"/>
    <n v="1"/>
    <n v="4"/>
    <x v="1"/>
  </r>
  <r>
    <n v="3294"/>
    <s v="Carla Bruni"/>
    <x v="0"/>
    <x v="62"/>
    <s v="Yes"/>
    <n v="15"/>
    <x v="2"/>
    <s v="Yes"/>
    <n v="30"/>
    <s v="Yes"/>
    <n v="20"/>
    <n v="20"/>
    <n v="45"/>
    <x v="0"/>
  </r>
  <r>
    <n v="3295"/>
    <s v="Diego Maradona"/>
    <x v="2"/>
    <x v="63"/>
    <s v="No"/>
    <n v="10"/>
    <x v="0"/>
    <s v="No"/>
    <s v="-"/>
    <s v="Yes"/>
    <n v="20"/>
    <n v="5"/>
    <n v="25"/>
    <x v="2"/>
  </r>
  <r>
    <n v="3296"/>
    <s v="Estela Marques"/>
    <x v="1"/>
    <x v="64"/>
    <s v="No"/>
    <n v="5"/>
    <x v="0"/>
    <s v="No"/>
    <s v="-"/>
    <s v="No"/>
    <n v="0"/>
    <n v="0"/>
    <n v="5"/>
    <x v="1"/>
  </r>
  <r>
    <n v="3297"/>
    <s v="Fábio Nobre"/>
    <x v="0"/>
    <x v="65"/>
    <s v="Yes"/>
    <n v="15"/>
    <x v="2"/>
    <s v="Yes"/>
    <n v="30"/>
    <s v="Yes"/>
    <n v="20"/>
    <n v="7"/>
    <n v="58"/>
    <x v="0"/>
  </r>
  <r>
    <n v="3298"/>
    <s v="Gabriel Oliveira"/>
    <x v="2"/>
    <x v="66"/>
    <s v="No"/>
    <n v="10"/>
    <x v="1"/>
    <s v="No"/>
    <s v="-"/>
    <s v="Yes"/>
    <n v="20"/>
    <n v="10"/>
    <n v="20"/>
    <x v="2"/>
  </r>
  <r>
    <n v="3299"/>
    <s v="Helena Santos"/>
    <x v="1"/>
    <x v="67"/>
    <s v="Yes"/>
    <n v="5"/>
    <x v="2"/>
    <s v="No"/>
    <s v="-"/>
    <s v="No"/>
    <n v="0"/>
    <n v="1"/>
    <n v="4"/>
    <x v="1"/>
  </r>
  <r>
    <n v="3300"/>
    <s v="Ivan Carvalho"/>
    <x v="0"/>
    <x v="68"/>
    <s v="No"/>
    <n v="15"/>
    <x v="0"/>
    <s v="Yes"/>
    <n v="30"/>
    <s v="Yes"/>
    <n v="20"/>
    <n v="15"/>
    <n v="50"/>
    <x v="0"/>
  </r>
  <r>
    <n v="3301"/>
    <s v="Júlia Ferreira"/>
    <x v="2"/>
    <x v="69"/>
    <s v="Yes"/>
    <n v="10"/>
    <x v="0"/>
    <s v="No"/>
    <s v="-"/>
    <s v="Yes"/>
    <n v="20"/>
    <n v="5"/>
    <n v="25"/>
    <x v="2"/>
  </r>
  <r>
    <n v="3302"/>
    <s v="Karla Alves"/>
    <x v="1"/>
    <x v="70"/>
    <s v="No"/>
    <n v="5"/>
    <x v="1"/>
    <s v="No"/>
    <s v="-"/>
    <s v="No"/>
    <n v="0"/>
    <n v="0"/>
    <n v="5"/>
    <x v="1"/>
  </r>
  <r>
    <n v="3303"/>
    <s v="Lucas Mendes"/>
    <x v="0"/>
    <x v="71"/>
    <s v="Yes"/>
    <n v="15"/>
    <x v="2"/>
    <s v="Yes"/>
    <n v="30"/>
    <s v="Yes"/>
    <n v="20"/>
    <n v="20"/>
    <n v="45"/>
    <x v="0"/>
  </r>
  <r>
    <n v="3304"/>
    <s v="Mônica Gomes"/>
    <x v="2"/>
    <x v="72"/>
    <s v="No"/>
    <n v="10"/>
    <x v="2"/>
    <s v="No"/>
    <s v="-"/>
    <s v="Yes"/>
    <n v="20"/>
    <n v="12"/>
    <n v="18"/>
    <x v="2"/>
  </r>
  <r>
    <n v="3305"/>
    <s v="Norberto Queiroz"/>
    <x v="1"/>
    <x v="73"/>
    <s v="Yes"/>
    <n v="5"/>
    <x v="0"/>
    <s v="No"/>
    <s v="-"/>
    <s v="No"/>
    <n v="0"/>
    <n v="2"/>
    <n v="3"/>
    <x v="1"/>
  </r>
  <r>
    <n v="3306"/>
    <s v="Otávio Barros"/>
    <x v="0"/>
    <x v="74"/>
    <s v="No"/>
    <n v="15"/>
    <x v="1"/>
    <s v="Yes"/>
    <n v="30"/>
    <s v="Yes"/>
    <n v="20"/>
    <n v="5"/>
    <n v="60"/>
    <x v="0"/>
  </r>
  <r>
    <n v="3307"/>
    <s v="Paula Vieira"/>
    <x v="2"/>
    <x v="75"/>
    <s v="Yes"/>
    <n v="10"/>
    <x v="0"/>
    <s v="No"/>
    <s v="-"/>
    <s v="Yes"/>
    <n v="20"/>
    <n v="10"/>
    <n v="20"/>
    <x v="2"/>
  </r>
  <r>
    <n v="3308"/>
    <s v="Quentin Ramos"/>
    <x v="1"/>
    <x v="76"/>
    <s v="No"/>
    <n v="5"/>
    <x v="2"/>
    <s v="No"/>
    <s v="-"/>
    <s v="No"/>
    <n v="0"/>
    <n v="0"/>
    <n v="5"/>
    <x v="1"/>
  </r>
  <r>
    <n v="3309"/>
    <s v="Raquel Novaes"/>
    <x v="0"/>
    <x v="77"/>
    <s v="Yes"/>
    <n v="15"/>
    <x v="0"/>
    <s v="Yes"/>
    <n v="30"/>
    <s v="Yes"/>
    <n v="20"/>
    <n v="3"/>
    <n v="62"/>
    <x v="0"/>
  </r>
  <r>
    <n v="3310"/>
    <s v="Samantha Lopes"/>
    <x v="2"/>
    <x v="78"/>
    <s v="No"/>
    <n v="10"/>
    <x v="1"/>
    <s v="No"/>
    <s v="-"/>
    <s v="Yes"/>
    <n v="20"/>
    <n v="15"/>
    <n v="15"/>
    <x v="2"/>
  </r>
  <r>
    <n v="3311"/>
    <s v="Tiago Martins"/>
    <x v="1"/>
    <x v="79"/>
    <s v="Yes"/>
    <n v="5"/>
    <x v="0"/>
    <s v="No"/>
    <s v="-"/>
    <s v="No"/>
    <n v="0"/>
    <n v="1"/>
    <n v="4"/>
    <x v="1"/>
  </r>
  <r>
    <n v="3312"/>
    <s v="Ulysses Guimarães"/>
    <x v="0"/>
    <x v="80"/>
    <s v="No"/>
    <n v="15"/>
    <x v="2"/>
    <s v="Yes"/>
    <n v="30"/>
    <s v="Yes"/>
    <n v="20"/>
    <n v="7"/>
    <n v="58"/>
    <x v="0"/>
  </r>
  <r>
    <n v="3313"/>
    <s v="Vanessa Silva"/>
    <x v="2"/>
    <x v="81"/>
    <s v="Yes"/>
    <n v="10"/>
    <x v="0"/>
    <s v="No"/>
    <s v="-"/>
    <s v="Yes"/>
    <n v="20"/>
    <n v="10"/>
    <n v="20"/>
    <x v="2"/>
  </r>
  <r>
    <n v="3314"/>
    <s v="William Carneiro"/>
    <x v="1"/>
    <x v="82"/>
    <s v="No"/>
    <n v="5"/>
    <x v="1"/>
    <s v="No"/>
    <s v="-"/>
    <s v="No"/>
    <n v="0"/>
    <n v="0"/>
    <n v="5"/>
    <x v="1"/>
  </r>
  <r>
    <n v="3315"/>
    <s v="Ximena Rocha"/>
    <x v="0"/>
    <x v="83"/>
    <s v="Yes"/>
    <n v="15"/>
    <x v="0"/>
    <s v="Yes"/>
    <n v="30"/>
    <s v="Yes"/>
    <n v="20"/>
    <n v="20"/>
    <n v="45"/>
    <x v="0"/>
  </r>
  <r>
    <n v="3316"/>
    <s v="Yasmin Figueiredo"/>
    <x v="2"/>
    <x v="84"/>
    <s v="No"/>
    <n v="10"/>
    <x v="2"/>
    <s v="No"/>
    <s v="-"/>
    <s v="Yes"/>
    <n v="20"/>
    <n v="15"/>
    <n v="15"/>
    <x v="2"/>
  </r>
  <r>
    <n v="3317"/>
    <s v="Zara Cunha"/>
    <x v="1"/>
    <x v="85"/>
    <s v="Yes"/>
    <n v="5"/>
    <x v="0"/>
    <s v="No"/>
    <s v="-"/>
    <s v="No"/>
    <n v="0"/>
    <n v="1"/>
    <n v="4"/>
    <x v="1"/>
  </r>
  <r>
    <n v="3318"/>
    <s v="Alan Teixeira"/>
    <x v="0"/>
    <x v="86"/>
    <s v="No"/>
    <n v="15"/>
    <x v="1"/>
    <s v="Yes"/>
    <n v="30"/>
    <s v="Yes"/>
    <n v="20"/>
    <n v="3"/>
    <n v="62"/>
    <x v="0"/>
  </r>
  <r>
    <n v="3319"/>
    <s v="Bárbara Oliveira"/>
    <x v="2"/>
    <x v="87"/>
    <s v="Yes"/>
    <n v="10"/>
    <x v="0"/>
    <s v="No"/>
    <s v="-"/>
    <s v="Yes"/>
    <n v="20"/>
    <n v="10"/>
    <n v="20"/>
    <x v="2"/>
  </r>
  <r>
    <n v="3320"/>
    <s v="Carlos Junqueira"/>
    <x v="1"/>
    <x v="88"/>
    <s v="No"/>
    <n v="5"/>
    <x v="2"/>
    <s v="No"/>
    <s v="-"/>
    <s v="No"/>
    <n v="0"/>
    <n v="0"/>
    <n v="5"/>
    <x v="1"/>
  </r>
  <r>
    <n v="3321"/>
    <s v="Daniela Moura"/>
    <x v="0"/>
    <x v="89"/>
    <s v="Yes"/>
    <n v="15"/>
    <x v="0"/>
    <s v="Yes"/>
    <n v="30"/>
    <s v="Yes"/>
    <n v="20"/>
    <n v="5"/>
    <n v="60"/>
    <x v="0"/>
  </r>
  <r>
    <n v="3322"/>
    <s v="Eduardo Lima"/>
    <x v="2"/>
    <x v="90"/>
    <s v="No"/>
    <n v="10"/>
    <x v="1"/>
    <s v="No"/>
    <s v="-"/>
    <s v="Yes"/>
    <n v="20"/>
    <n v="15"/>
    <n v="15"/>
    <x v="2"/>
  </r>
  <r>
    <n v="3323"/>
    <s v="Fabiana Araújo"/>
    <x v="1"/>
    <x v="91"/>
    <s v="Yes"/>
    <n v="5"/>
    <x v="0"/>
    <s v="No"/>
    <s v="-"/>
    <s v="No"/>
    <n v="0"/>
    <n v="1"/>
    <n v="4"/>
    <x v="1"/>
  </r>
  <r>
    <n v="3324"/>
    <s v="Geraldo Ribeiro"/>
    <x v="0"/>
    <x v="92"/>
    <s v="No"/>
    <n v="15"/>
    <x v="2"/>
    <s v="Yes"/>
    <n v="30"/>
    <s v="Yes"/>
    <n v="20"/>
    <n v="20"/>
    <n v="45"/>
    <x v="0"/>
  </r>
  <r>
    <n v="3325"/>
    <s v="Héctor Vargas"/>
    <x v="2"/>
    <x v="93"/>
    <s v="Yes"/>
    <n v="10"/>
    <x v="2"/>
    <s v="No"/>
    <s v="-"/>
    <s v="Yes"/>
    <n v="20"/>
    <n v="15"/>
    <n v="15"/>
    <x v="2"/>
  </r>
  <r>
    <n v="3326"/>
    <s v="Isabela Fonseca"/>
    <x v="1"/>
    <x v="94"/>
    <s v="No"/>
    <n v="5"/>
    <x v="1"/>
    <s v="No"/>
    <s v="-"/>
    <s v="No"/>
    <n v="0"/>
    <n v="0"/>
    <n v="5"/>
    <x v="1"/>
  </r>
  <r>
    <n v="3327"/>
    <s v="João Pedro Almeida"/>
    <x v="0"/>
    <x v="95"/>
    <s v="Yes"/>
    <n v="15"/>
    <x v="0"/>
    <s v="Yes"/>
    <n v="30"/>
    <s v="Yes"/>
    <n v="20"/>
    <n v="7"/>
    <n v="58"/>
    <x v="0"/>
  </r>
  <r>
    <n v="3328"/>
    <s v="Klara Costa"/>
    <x v="2"/>
    <x v="96"/>
    <s v="No"/>
    <n v="10"/>
    <x v="1"/>
    <s v="No"/>
    <s v="-"/>
    <s v="Yes"/>
    <n v="20"/>
    <n v="10"/>
    <n v="20"/>
    <x v="2"/>
  </r>
  <r>
    <n v="3329"/>
    <s v="Luciana Mendes"/>
    <x v="1"/>
    <x v="97"/>
    <s v="Yes"/>
    <n v="5"/>
    <x v="2"/>
    <s v="No"/>
    <s v="-"/>
    <s v="No"/>
    <n v="0"/>
    <n v="1"/>
    <n v="4"/>
    <x v="1"/>
  </r>
  <r>
    <n v="3330"/>
    <s v="Marcelo Gouveia"/>
    <x v="0"/>
    <x v="98"/>
    <s v="No"/>
    <n v="15"/>
    <x v="0"/>
    <s v="Yes"/>
    <n v="30"/>
    <s v="Yes"/>
    <n v="20"/>
    <n v="15"/>
    <n v="50"/>
    <x v="0"/>
  </r>
  <r>
    <n v="3331"/>
    <s v="Nívea Borges"/>
    <x v="2"/>
    <x v="99"/>
    <s v="Yes"/>
    <n v="10"/>
    <x v="0"/>
    <s v="No"/>
    <s v="-"/>
    <s v="Yes"/>
    <n v="20"/>
    <n v="5"/>
    <n v="25"/>
    <x v="2"/>
  </r>
  <r>
    <n v="3332"/>
    <s v="Oscar Nogueira"/>
    <x v="1"/>
    <x v="100"/>
    <s v="No"/>
    <n v="5"/>
    <x v="1"/>
    <s v="No"/>
    <s v="-"/>
    <s v="No"/>
    <n v="0"/>
    <n v="0"/>
    <n v="5"/>
    <x v="1"/>
  </r>
  <r>
    <n v="3333"/>
    <s v="Patrícia Alves"/>
    <x v="0"/>
    <x v="101"/>
    <s v="Yes"/>
    <n v="15"/>
    <x v="2"/>
    <s v="Yes"/>
    <n v="30"/>
    <s v="Yes"/>
    <n v="20"/>
    <n v="20"/>
    <n v="45"/>
    <x v="0"/>
  </r>
  <r>
    <n v="3334"/>
    <s v="Rafaela Silva"/>
    <x v="2"/>
    <x v="102"/>
    <s v="No"/>
    <n v="10"/>
    <x v="2"/>
    <s v="No"/>
    <s v="-"/>
    <s v="Yes"/>
    <n v="20"/>
    <n v="12"/>
    <n v="18"/>
    <x v="2"/>
  </r>
  <r>
    <n v="3335"/>
    <s v="Samantha Moraes"/>
    <x v="1"/>
    <x v="103"/>
    <s v="Yes"/>
    <n v="5"/>
    <x v="0"/>
    <s v="No"/>
    <s v="-"/>
    <s v="No"/>
    <n v="0"/>
    <n v="2"/>
    <n v="3"/>
    <x v="1"/>
  </r>
  <r>
    <n v="3336"/>
    <s v="Tatiana Rocha"/>
    <x v="1"/>
    <x v="104"/>
    <s v="Yes"/>
    <n v="5"/>
    <x v="0"/>
    <s v="No"/>
    <s v="-"/>
    <s v="No"/>
    <n v="0"/>
    <n v="0"/>
    <n v="5"/>
    <x v="1"/>
  </r>
  <r>
    <n v="3337"/>
    <s v="Ulisses Tavares"/>
    <x v="0"/>
    <x v="105"/>
    <s v="No"/>
    <n v="15"/>
    <x v="2"/>
    <s v="Yes"/>
    <n v="30"/>
    <s v="Yes"/>
    <n v="20"/>
    <n v="7"/>
    <n v="58"/>
    <x v="0"/>
  </r>
  <r>
    <n v="3338"/>
    <s v="Víctor Lemos"/>
    <x v="2"/>
    <x v="106"/>
    <s v="Yes"/>
    <n v="10"/>
    <x v="1"/>
    <s v="No"/>
    <s v="-"/>
    <s v="Yes"/>
    <n v="20"/>
    <n v="10"/>
    <n v="20"/>
    <x v="2"/>
  </r>
  <r>
    <n v="3339"/>
    <s v="Wilma Barros"/>
    <x v="1"/>
    <x v="107"/>
    <s v="No"/>
    <n v="5"/>
    <x v="2"/>
    <s v="No"/>
    <s v="-"/>
    <s v="No"/>
    <n v="0"/>
    <n v="1"/>
    <n v="4"/>
    <x v="1"/>
  </r>
  <r>
    <n v="3340"/>
    <s v="Xavier Nascimento"/>
    <x v="0"/>
    <x v="108"/>
    <s v="Yes"/>
    <n v="15"/>
    <x v="0"/>
    <s v="Yes"/>
    <n v="30"/>
    <s v="Yes"/>
    <n v="20"/>
    <n v="15"/>
    <n v="50"/>
    <x v="0"/>
  </r>
  <r>
    <n v="3341"/>
    <s v="Yago Pereira"/>
    <x v="2"/>
    <x v="109"/>
    <s v="No"/>
    <n v="10"/>
    <x v="0"/>
    <s v="No"/>
    <s v="-"/>
    <s v="Yes"/>
    <n v="20"/>
    <n v="5"/>
    <n v="25"/>
    <x v="2"/>
  </r>
  <r>
    <n v="3342"/>
    <s v="Zilda Ferreira"/>
    <x v="1"/>
    <x v="110"/>
    <s v="Yes"/>
    <n v="5"/>
    <x v="1"/>
    <s v="No"/>
    <s v="-"/>
    <s v="No"/>
    <n v="0"/>
    <n v="0"/>
    <n v="5"/>
    <x v="1"/>
  </r>
  <r>
    <n v="3343"/>
    <s v="Amanda Lopes"/>
    <x v="0"/>
    <x v="111"/>
    <s v="No"/>
    <n v="15"/>
    <x v="2"/>
    <s v="Yes"/>
    <n v="30"/>
    <s v="Yes"/>
    <n v="20"/>
    <n v="20"/>
    <n v="45"/>
    <x v="0"/>
  </r>
  <r>
    <n v="3344"/>
    <s v="Bruno Miranda"/>
    <x v="2"/>
    <x v="112"/>
    <s v="Yes"/>
    <n v="10"/>
    <x v="2"/>
    <s v="No"/>
    <s v="-"/>
    <s v="Yes"/>
    <n v="20"/>
    <n v="12"/>
    <n v="18"/>
    <x v="2"/>
  </r>
  <r>
    <n v="3345"/>
    <s v="Célia Torres"/>
    <x v="1"/>
    <x v="113"/>
    <s v="No"/>
    <n v="5"/>
    <x v="0"/>
    <s v="No"/>
    <s v="-"/>
    <s v="No"/>
    <n v="0"/>
    <n v="2"/>
    <n v="3"/>
    <x v="1"/>
  </r>
  <r>
    <n v="3346"/>
    <s v="Diogo Souza"/>
    <x v="0"/>
    <x v="114"/>
    <s v="Yes"/>
    <n v="15"/>
    <x v="1"/>
    <s v="Yes"/>
    <n v="30"/>
    <s v="Yes"/>
    <n v="20"/>
    <n v="5"/>
    <n v="60"/>
    <x v="0"/>
  </r>
  <r>
    <n v="3347"/>
    <s v="Elisa Castro"/>
    <x v="2"/>
    <x v="115"/>
    <s v="No"/>
    <n v="10"/>
    <x v="0"/>
    <s v="No"/>
    <s v="-"/>
    <s v="Yes"/>
    <n v="20"/>
    <n v="10"/>
    <n v="20"/>
    <x v="2"/>
  </r>
  <r>
    <n v="3348"/>
    <s v="Fátima Lima"/>
    <x v="1"/>
    <x v="116"/>
    <s v="Yes"/>
    <n v="5"/>
    <x v="2"/>
    <s v="No"/>
    <s v="-"/>
    <s v="No"/>
    <n v="0"/>
    <n v="0"/>
    <n v="5"/>
    <x v="1"/>
  </r>
  <r>
    <n v="3349"/>
    <s v="Geraldo Ribeiro"/>
    <x v="0"/>
    <x v="117"/>
    <s v="No"/>
    <n v="15"/>
    <x v="0"/>
    <s v="Yes"/>
    <n v="30"/>
    <s v="Yes"/>
    <n v="20"/>
    <n v="3"/>
    <n v="62"/>
    <x v="0"/>
  </r>
  <r>
    <n v="3350"/>
    <s v="Hélio Martins"/>
    <x v="2"/>
    <x v="118"/>
    <s v="Yes"/>
    <n v="10"/>
    <x v="1"/>
    <s v="No"/>
    <s v="-"/>
    <s v="Yes"/>
    <n v="20"/>
    <n v="15"/>
    <n v="15"/>
    <x v="2"/>
  </r>
  <r>
    <n v="3351"/>
    <s v="Íris Santos"/>
    <x v="1"/>
    <x v="119"/>
    <s v="No"/>
    <n v="5"/>
    <x v="0"/>
    <s v="No"/>
    <s v="-"/>
    <s v="No"/>
    <n v="0"/>
    <n v="1"/>
    <n v="4"/>
    <x v="1"/>
  </r>
  <r>
    <n v="3352"/>
    <s v="João Marcelo"/>
    <x v="0"/>
    <x v="120"/>
    <s v="Yes"/>
    <n v="15"/>
    <x v="2"/>
    <s v="Yes"/>
    <n v="30"/>
    <s v="Yes"/>
    <n v="20"/>
    <n v="7"/>
    <n v="58"/>
    <x v="0"/>
  </r>
  <r>
    <n v="3353"/>
    <s v="Larissa Gomes"/>
    <x v="2"/>
    <x v="121"/>
    <s v="No"/>
    <n v="10"/>
    <x v="0"/>
    <s v="No"/>
    <s v="-"/>
    <s v="Yes"/>
    <n v="20"/>
    <n v="10"/>
    <n v="20"/>
    <x v="2"/>
  </r>
  <r>
    <n v="3354"/>
    <s v="Márcio Silva"/>
    <x v="1"/>
    <x v="122"/>
    <s v="Yes"/>
    <n v="5"/>
    <x v="1"/>
    <s v="No"/>
    <s v="-"/>
    <s v="No"/>
    <n v="0"/>
    <n v="0"/>
    <n v="5"/>
    <x v="1"/>
  </r>
  <r>
    <n v="3355"/>
    <s v="Nadia Costa"/>
    <x v="0"/>
    <x v="123"/>
    <s v="No"/>
    <n v="15"/>
    <x v="0"/>
    <s v="Yes"/>
    <n v="30"/>
    <s v="Yes"/>
    <n v="20"/>
    <n v="20"/>
    <n v="45"/>
    <x v="0"/>
  </r>
  <r>
    <n v="3356"/>
    <s v="Oscar Almeida"/>
    <x v="2"/>
    <x v="124"/>
    <s v="Yes"/>
    <n v="10"/>
    <x v="2"/>
    <s v="No"/>
    <s v="-"/>
    <s v="Yes"/>
    <n v="20"/>
    <n v="15"/>
    <n v="15"/>
    <x v="2"/>
  </r>
  <r>
    <n v="3357"/>
    <s v="Patricia Soares"/>
    <x v="1"/>
    <x v="125"/>
    <s v="No"/>
    <n v="5"/>
    <x v="0"/>
    <s v="No"/>
    <s v="-"/>
    <s v="No"/>
    <n v="0"/>
    <n v="1"/>
    <n v="4"/>
    <x v="1"/>
  </r>
  <r>
    <n v="3358"/>
    <s v="Quênia Barros"/>
    <x v="0"/>
    <x v="126"/>
    <s v="Yes"/>
    <n v="15"/>
    <x v="1"/>
    <s v="Yes"/>
    <n v="30"/>
    <s v="Yes"/>
    <n v="20"/>
    <n v="3"/>
    <n v="62"/>
    <x v="0"/>
  </r>
  <r>
    <n v="3359"/>
    <s v="Rafael Torres"/>
    <x v="2"/>
    <x v="127"/>
    <s v="No"/>
    <n v="10"/>
    <x v="0"/>
    <s v="No"/>
    <s v="-"/>
    <s v="Yes"/>
    <n v="20"/>
    <n v="10"/>
    <n v="20"/>
    <x v="2"/>
  </r>
  <r>
    <n v="3360"/>
    <s v="Silvia Nascimento"/>
    <x v="1"/>
    <x v="128"/>
    <s v="Yes"/>
    <n v="5"/>
    <x v="2"/>
    <s v="No"/>
    <s v="-"/>
    <s v="No"/>
    <n v="0"/>
    <n v="0"/>
    <n v="5"/>
    <x v="1"/>
  </r>
  <r>
    <n v="3361"/>
    <s v="Tiago Mendes"/>
    <x v="0"/>
    <x v="129"/>
    <s v="No"/>
    <n v="15"/>
    <x v="0"/>
    <s v="Yes"/>
    <n v="30"/>
    <s v="Yes"/>
    <n v="20"/>
    <n v="15"/>
    <n v="50"/>
    <x v="0"/>
  </r>
  <r>
    <n v="3362"/>
    <s v="Ursula Silva"/>
    <x v="2"/>
    <x v="130"/>
    <s v="Yes"/>
    <n v="10"/>
    <x v="1"/>
    <s v="No"/>
    <s v="-"/>
    <s v="Yes"/>
    <n v="20"/>
    <n v="15"/>
    <n v="15"/>
    <x v="2"/>
  </r>
  <r>
    <n v="3363"/>
    <s v="Vanessa Moraes"/>
    <x v="1"/>
    <x v="131"/>
    <s v="No"/>
    <n v="5"/>
    <x v="0"/>
    <s v="No"/>
    <s v="-"/>
    <s v="No"/>
    <n v="0"/>
    <n v="1"/>
    <n v="4"/>
    <x v="1"/>
  </r>
  <r>
    <n v="3364"/>
    <s v="Waldir Junior"/>
    <x v="0"/>
    <x v="132"/>
    <s v="Yes"/>
    <n v="15"/>
    <x v="2"/>
    <s v="Yes"/>
    <n v="30"/>
    <s v="Yes"/>
    <n v="20"/>
    <n v="7"/>
    <n v="58"/>
    <x v="0"/>
  </r>
  <r>
    <n v="3365"/>
    <s v="Xavier Lopes"/>
    <x v="2"/>
    <x v="133"/>
    <s v="No"/>
    <n v="10"/>
    <x v="0"/>
    <s v="No"/>
    <s v="-"/>
    <s v="Yes"/>
    <n v="20"/>
    <n v="10"/>
    <n v="20"/>
    <x v="2"/>
  </r>
  <r>
    <n v="3366"/>
    <s v="Yolanda Freitas"/>
    <x v="1"/>
    <x v="134"/>
    <s v="Yes"/>
    <n v="5"/>
    <x v="0"/>
    <s v="No"/>
    <s v="-"/>
    <s v="No"/>
    <n v="0"/>
    <n v="0"/>
    <n v="5"/>
    <x v="1"/>
  </r>
  <r>
    <n v="3367"/>
    <s v="Zacarias Nunes"/>
    <x v="0"/>
    <x v="135"/>
    <s v="No"/>
    <n v="15"/>
    <x v="2"/>
    <s v="Yes"/>
    <n v="30"/>
    <s v="Yes"/>
    <n v="20"/>
    <n v="7"/>
    <n v="58"/>
    <x v="0"/>
  </r>
  <r>
    <n v="3368"/>
    <s v="Ana Clara Barreto"/>
    <x v="2"/>
    <x v="136"/>
    <s v="Yes"/>
    <n v="10"/>
    <x v="1"/>
    <s v="No"/>
    <s v="-"/>
    <s v="Yes"/>
    <n v="20"/>
    <n v="10"/>
    <n v="20"/>
    <x v="2"/>
  </r>
  <r>
    <n v="3369"/>
    <s v="Bruno Henrique"/>
    <x v="1"/>
    <x v="137"/>
    <s v="No"/>
    <n v="5"/>
    <x v="2"/>
    <s v="No"/>
    <s v="-"/>
    <s v="No"/>
    <n v="0"/>
    <n v="1"/>
    <n v="4"/>
    <x v="1"/>
  </r>
  <r>
    <n v="3370"/>
    <s v="Carlos Eduardo"/>
    <x v="0"/>
    <x v="138"/>
    <s v="Yes"/>
    <n v="15"/>
    <x v="0"/>
    <s v="Yes"/>
    <n v="30"/>
    <s v="Yes"/>
    <n v="20"/>
    <n v="15"/>
    <n v="50"/>
    <x v="0"/>
  </r>
  <r>
    <n v="3371"/>
    <s v="Débora Lima"/>
    <x v="2"/>
    <x v="139"/>
    <s v="No"/>
    <n v="10"/>
    <x v="0"/>
    <s v="No"/>
    <s v="-"/>
    <s v="Yes"/>
    <n v="20"/>
    <n v="5"/>
    <n v="25"/>
    <x v="2"/>
  </r>
  <r>
    <n v="3372"/>
    <s v="Elisa Neves"/>
    <x v="1"/>
    <x v="140"/>
    <s v="Yes"/>
    <n v="5"/>
    <x v="1"/>
    <s v="No"/>
    <s v="-"/>
    <s v="No"/>
    <n v="0"/>
    <n v="0"/>
    <n v="5"/>
    <x v="1"/>
  </r>
  <r>
    <n v="3373"/>
    <s v="Fabiano Gomes"/>
    <x v="0"/>
    <x v="141"/>
    <s v="No"/>
    <n v="15"/>
    <x v="2"/>
    <s v="Yes"/>
    <n v="30"/>
    <s v="Yes"/>
    <n v="20"/>
    <n v="20"/>
    <n v="45"/>
    <x v="0"/>
  </r>
  <r>
    <n v="3374"/>
    <s v="Gisele Oliveira"/>
    <x v="2"/>
    <x v="142"/>
    <s v="Yes"/>
    <n v="10"/>
    <x v="2"/>
    <s v="No"/>
    <s v="-"/>
    <s v="Yes"/>
    <n v="20"/>
    <n v="12"/>
    <n v="18"/>
    <x v="2"/>
  </r>
  <r>
    <n v="3375"/>
    <s v="Héctor Silva"/>
    <x v="1"/>
    <x v="143"/>
    <s v="No"/>
    <n v="5"/>
    <x v="0"/>
    <s v="No"/>
    <s v="-"/>
    <s v="No"/>
    <n v="0"/>
    <n v="2"/>
    <n v="3"/>
    <x v="1"/>
  </r>
  <r>
    <n v="3376"/>
    <s v="Igor Martins"/>
    <x v="0"/>
    <x v="144"/>
    <s v="Yes"/>
    <n v="15"/>
    <x v="1"/>
    <s v="Yes"/>
    <n v="30"/>
    <s v="Yes"/>
    <n v="20"/>
    <n v="5"/>
    <n v="60"/>
    <x v="0"/>
  </r>
  <r>
    <n v="3377"/>
    <s v="Joana Figueiredo"/>
    <x v="2"/>
    <x v="145"/>
    <s v="No"/>
    <n v="10"/>
    <x v="0"/>
    <s v="No"/>
    <s v="-"/>
    <s v="Yes"/>
    <n v="20"/>
    <n v="10"/>
    <n v="20"/>
    <x v="2"/>
  </r>
  <r>
    <n v="3378"/>
    <s v="Kleber Machado"/>
    <x v="1"/>
    <x v="146"/>
    <s v="Yes"/>
    <n v="5"/>
    <x v="2"/>
    <s v="No"/>
    <s v="-"/>
    <s v="No"/>
    <n v="0"/>
    <n v="0"/>
    <n v="5"/>
    <x v="1"/>
  </r>
  <r>
    <n v="3379"/>
    <s v="Luciana Santos"/>
    <x v="0"/>
    <x v="147"/>
    <s v="No"/>
    <n v="15"/>
    <x v="0"/>
    <s v="Yes"/>
    <n v="30"/>
    <s v="Yes"/>
    <n v="20"/>
    <n v="3"/>
    <n v="62"/>
    <x v="0"/>
  </r>
  <r>
    <n v="3380"/>
    <s v="Marcos Teixeira"/>
    <x v="2"/>
    <x v="148"/>
    <s v="Yes"/>
    <n v="10"/>
    <x v="1"/>
    <s v="No"/>
    <s v="-"/>
    <s v="Yes"/>
    <n v="20"/>
    <n v="15"/>
    <n v="15"/>
    <x v="2"/>
  </r>
  <r>
    <n v="3381"/>
    <s v="Natalia Costa"/>
    <x v="1"/>
    <x v="149"/>
    <s v="No"/>
    <n v="5"/>
    <x v="0"/>
    <s v="No"/>
    <s v="-"/>
    <s v="No"/>
    <n v="0"/>
    <n v="1"/>
    <n v="4"/>
    <x v="1"/>
  </r>
  <r>
    <n v="3382"/>
    <s v="Oscar Ribeiro"/>
    <x v="0"/>
    <x v="150"/>
    <s v="Yes"/>
    <n v="15"/>
    <x v="2"/>
    <s v="Yes"/>
    <n v="30"/>
    <s v="Yes"/>
    <n v="20"/>
    <n v="7"/>
    <n v="58"/>
    <x v="0"/>
  </r>
  <r>
    <n v="3383"/>
    <s v="Patricia Almeida"/>
    <x v="2"/>
    <x v="151"/>
    <s v="No"/>
    <n v="10"/>
    <x v="0"/>
    <s v="No"/>
    <s v="-"/>
    <s v="Yes"/>
    <n v="20"/>
    <n v="10"/>
    <n v="20"/>
    <x v="2"/>
  </r>
  <r>
    <n v="3384"/>
    <s v="Quirino Junior"/>
    <x v="1"/>
    <x v="152"/>
    <s v="Yes"/>
    <n v="5"/>
    <x v="1"/>
    <s v="No"/>
    <s v="-"/>
    <s v="No"/>
    <n v="0"/>
    <n v="0"/>
    <n v="5"/>
    <x v="1"/>
  </r>
  <r>
    <n v="3385"/>
    <s v="Renata Machado"/>
    <x v="0"/>
    <x v="153"/>
    <s v="No"/>
    <n v="15"/>
    <x v="0"/>
    <s v="Yes"/>
    <n v="30"/>
    <s v="Yes"/>
    <n v="20"/>
    <n v="20"/>
    <n v="45"/>
    <x v="0"/>
  </r>
  <r>
    <n v="3386"/>
    <s v="Sônia Alves"/>
    <x v="2"/>
    <x v="154"/>
    <s v="Yes"/>
    <n v="10"/>
    <x v="2"/>
    <s v="No"/>
    <s v="-"/>
    <s v="Yes"/>
    <n v="20"/>
    <n v="15"/>
    <n v="15"/>
    <x v="2"/>
  </r>
  <r>
    <n v="3387"/>
    <s v="Tiago Nunes"/>
    <x v="1"/>
    <x v="155"/>
    <s v="No"/>
    <n v="5"/>
    <x v="0"/>
    <s v="No"/>
    <s v="-"/>
    <s v="No"/>
    <n v="0"/>
    <n v="1"/>
    <n v="4"/>
    <x v="1"/>
  </r>
  <r>
    <n v="3388"/>
    <s v="Ulysses Pereira"/>
    <x v="0"/>
    <x v="156"/>
    <s v="Yes"/>
    <n v="15"/>
    <x v="1"/>
    <s v="Yes"/>
    <n v="30"/>
    <s v="Yes"/>
    <n v="20"/>
    <n v="3"/>
    <n v="62"/>
    <x v="0"/>
  </r>
  <r>
    <n v="3389"/>
    <s v="Vanessa Lima"/>
    <x v="2"/>
    <x v="157"/>
    <s v="No"/>
    <n v="10"/>
    <x v="0"/>
    <s v="No"/>
    <s v="-"/>
    <s v="Yes"/>
    <n v="20"/>
    <n v="10"/>
    <n v="20"/>
    <x v="2"/>
  </r>
  <r>
    <n v="3390"/>
    <s v="Wagner Santos"/>
    <x v="1"/>
    <x v="158"/>
    <s v="Yes"/>
    <n v="5"/>
    <x v="2"/>
    <s v="No"/>
    <s v="-"/>
    <s v="No"/>
    <n v="0"/>
    <n v="0"/>
    <n v="5"/>
    <x v="1"/>
  </r>
  <r>
    <n v="3391"/>
    <s v="Xuxa Meneghel"/>
    <x v="0"/>
    <x v="159"/>
    <s v="No"/>
    <n v="15"/>
    <x v="0"/>
    <s v="Yes"/>
    <n v="30"/>
    <s v="Yes"/>
    <n v="20"/>
    <n v="15"/>
    <n v="50"/>
    <x v="0"/>
  </r>
  <r>
    <n v="3392"/>
    <s v="Yasmin Silva"/>
    <x v="2"/>
    <x v="160"/>
    <s v="Yes"/>
    <n v="10"/>
    <x v="1"/>
    <s v="No"/>
    <s v="-"/>
    <s v="Yes"/>
    <n v="20"/>
    <n v="15"/>
    <n v="15"/>
    <x v="2"/>
  </r>
  <r>
    <n v="3393"/>
    <s v="Zacarias de Souza"/>
    <x v="1"/>
    <x v="161"/>
    <s v="No"/>
    <n v="5"/>
    <x v="0"/>
    <s v="No"/>
    <s v="-"/>
    <s v="No"/>
    <n v="0"/>
    <n v="1"/>
    <n v="4"/>
    <x v="1"/>
  </r>
  <r>
    <n v="3394"/>
    <s v="André Lima"/>
    <x v="0"/>
    <x v="162"/>
    <s v="Yes"/>
    <n v="15"/>
    <x v="2"/>
    <s v="Yes"/>
    <n v="30"/>
    <s v="Yes"/>
    <n v="20"/>
    <n v="7"/>
    <n v="58"/>
    <x v="0"/>
  </r>
  <r>
    <n v="3395"/>
    <s v="Bianca Freitas"/>
    <x v="2"/>
    <x v="163"/>
    <s v="No"/>
    <n v="10"/>
    <x v="0"/>
    <s v="No"/>
    <s v="-"/>
    <s v="Yes"/>
    <n v="20"/>
    <n v="10"/>
    <n v="20"/>
    <x v="2"/>
  </r>
  <r>
    <n v="3396"/>
    <s v="Caio Mendes"/>
    <x v="1"/>
    <x v="164"/>
    <s v="Yes"/>
    <n v="5"/>
    <x v="1"/>
    <s v="No"/>
    <s v="-"/>
    <s v="No"/>
    <n v="0"/>
    <n v="0"/>
    <n v="5"/>
    <x v="1"/>
  </r>
  <r>
    <n v="3397"/>
    <s v="Daniela Moura"/>
    <x v="0"/>
    <x v="165"/>
    <s v="No"/>
    <n v="15"/>
    <x v="0"/>
    <s v="Yes"/>
    <n v="30"/>
    <s v="Yes"/>
    <n v="20"/>
    <n v="20"/>
    <n v="45"/>
    <x v="0"/>
  </r>
  <r>
    <n v="3398"/>
    <s v="Eduardo Costa"/>
    <x v="2"/>
    <x v="166"/>
    <s v="Yes"/>
    <n v="10"/>
    <x v="2"/>
    <s v="No"/>
    <s v="-"/>
    <s v="Yes"/>
    <n v="20"/>
    <n v="15"/>
    <n v="15"/>
    <x v="2"/>
  </r>
  <r>
    <n v="3399"/>
    <s v="Fernanda Gomes"/>
    <x v="1"/>
    <x v="167"/>
    <s v="No"/>
    <n v="5"/>
    <x v="0"/>
    <s v="No"/>
    <s v="-"/>
    <s v="No"/>
    <n v="0"/>
    <n v="1"/>
    <n v="4"/>
    <x v="1"/>
  </r>
  <r>
    <n v="3400"/>
    <s v="Guilherme Souza"/>
    <x v="0"/>
    <x v="168"/>
    <s v="Yes"/>
    <n v="15"/>
    <x v="1"/>
    <s v="Yes"/>
    <n v="30"/>
    <s v="Yes"/>
    <n v="20"/>
    <n v="5"/>
    <n v="60"/>
    <x v="0"/>
  </r>
  <r>
    <n v="3401"/>
    <s v="Helena Ribeiro"/>
    <x v="2"/>
    <x v="169"/>
    <s v="No"/>
    <n v="10"/>
    <x v="0"/>
    <s v="No"/>
    <s v="-"/>
    <s v="Yes"/>
    <n v="20"/>
    <n v="10"/>
    <n v="20"/>
    <x v="2"/>
  </r>
  <r>
    <n v="3402"/>
    <s v="Igor Santos"/>
    <x v="1"/>
    <x v="170"/>
    <s v="Yes"/>
    <n v="5"/>
    <x v="2"/>
    <s v="No"/>
    <s v="-"/>
    <s v="No"/>
    <n v="0"/>
    <n v="0"/>
    <n v="5"/>
    <x v="1"/>
  </r>
  <r>
    <n v="3403"/>
    <s v="João Carvalho"/>
    <x v="0"/>
    <x v="171"/>
    <s v="No"/>
    <n v="15"/>
    <x v="0"/>
    <s v="Yes"/>
    <n v="30"/>
    <s v="Yes"/>
    <n v="20"/>
    <n v="3"/>
    <n v="62"/>
    <x v="0"/>
  </r>
  <r>
    <n v="3404"/>
    <s v="Klara Fagundes"/>
    <x v="2"/>
    <x v="172"/>
    <s v="Yes"/>
    <n v="10"/>
    <x v="1"/>
    <s v="No"/>
    <s v="-"/>
    <s v="Yes"/>
    <n v="20"/>
    <n v="15"/>
    <n v="15"/>
    <x v="2"/>
  </r>
  <r>
    <n v="3405"/>
    <s v="Lúcia Mendonça"/>
    <x v="1"/>
    <x v="173"/>
    <s v="No"/>
    <n v="5"/>
    <x v="0"/>
    <s v="No"/>
    <s v="-"/>
    <s v="No"/>
    <n v="0"/>
    <n v="1"/>
    <n v="4"/>
    <x v="1"/>
  </r>
  <r>
    <n v="3406"/>
    <s v="Marcelo Novaes"/>
    <x v="1"/>
    <x v="174"/>
    <s v="Yes"/>
    <n v="5"/>
    <x v="0"/>
    <s v="No"/>
    <s v="-"/>
    <s v="No"/>
    <n v="0"/>
    <n v="0"/>
    <n v="5"/>
    <x v="1"/>
  </r>
  <r>
    <n v="3407"/>
    <s v="Nina Pacheco"/>
    <x v="0"/>
    <x v="175"/>
    <s v="No"/>
    <n v="15"/>
    <x v="2"/>
    <s v="Yes"/>
    <n v="30"/>
    <s v="Yes"/>
    <n v="20"/>
    <n v="7"/>
    <n v="58"/>
    <x v="0"/>
  </r>
  <r>
    <n v="3408"/>
    <s v="Olívia Rios"/>
    <x v="2"/>
    <x v="176"/>
    <s v="Yes"/>
    <n v="10"/>
    <x v="1"/>
    <s v="No"/>
    <s v="-"/>
    <s v="Yes"/>
    <n v="20"/>
    <n v="10"/>
    <n v="20"/>
    <x v="2"/>
  </r>
  <r>
    <n v="3409"/>
    <s v="Paulo Quintana"/>
    <x v="1"/>
    <x v="177"/>
    <s v="No"/>
    <n v="5"/>
    <x v="2"/>
    <s v="No"/>
    <s v="-"/>
    <s v="No"/>
    <n v="0"/>
    <n v="1"/>
    <n v="4"/>
    <x v="1"/>
  </r>
  <r>
    <n v="3410"/>
    <s v="Raquel Domingos"/>
    <x v="0"/>
    <x v="178"/>
    <s v="Yes"/>
    <n v="15"/>
    <x v="0"/>
    <s v="Yes"/>
    <n v="30"/>
    <s v="Yes"/>
    <n v="20"/>
    <n v="15"/>
    <n v="50"/>
    <x v="0"/>
  </r>
  <r>
    <n v="3411"/>
    <s v="Samuel Viana"/>
    <x v="2"/>
    <x v="179"/>
    <s v="No"/>
    <n v="10"/>
    <x v="0"/>
    <s v="No"/>
    <s v="-"/>
    <s v="Yes"/>
    <n v="20"/>
    <n v="5"/>
    <n v="25"/>
    <x v="2"/>
  </r>
  <r>
    <n v="3412"/>
    <s v="Tatiane Rocha"/>
    <x v="1"/>
    <x v="180"/>
    <s v="Yes"/>
    <n v="5"/>
    <x v="1"/>
    <s v="No"/>
    <s v="-"/>
    <s v="No"/>
    <n v="0"/>
    <n v="0"/>
    <n v="5"/>
    <x v="1"/>
  </r>
  <r>
    <n v="3413"/>
    <s v="Ulysses Farias"/>
    <x v="0"/>
    <x v="181"/>
    <s v="No"/>
    <n v="15"/>
    <x v="2"/>
    <s v="Yes"/>
    <n v="30"/>
    <s v="Yes"/>
    <n v="20"/>
    <n v="20"/>
    <n v="45"/>
    <x v="0"/>
  </r>
  <r>
    <n v="3414"/>
    <s v="Vanessa Moreira"/>
    <x v="2"/>
    <x v="182"/>
    <s v="Yes"/>
    <n v="10"/>
    <x v="2"/>
    <s v="No"/>
    <s v="-"/>
    <s v="Yes"/>
    <n v="20"/>
    <n v="12"/>
    <n v="18"/>
    <x v="2"/>
  </r>
  <r>
    <n v="3415"/>
    <s v="William Carvalho"/>
    <x v="1"/>
    <x v="183"/>
    <s v="No"/>
    <n v="5"/>
    <x v="0"/>
    <s v="No"/>
    <s v="-"/>
    <s v="No"/>
    <n v="0"/>
    <n v="2"/>
    <n v="3"/>
    <x v="1"/>
  </r>
  <r>
    <n v="3416"/>
    <s v="Ximena Barros"/>
    <x v="0"/>
    <x v="184"/>
    <s v="Yes"/>
    <n v="15"/>
    <x v="1"/>
    <s v="Yes"/>
    <n v="30"/>
    <s v="Yes"/>
    <n v="20"/>
    <n v="5"/>
    <n v="60"/>
    <x v="0"/>
  </r>
  <r>
    <n v="3417"/>
    <s v="Yara Machado"/>
    <x v="2"/>
    <x v="185"/>
    <s v="No"/>
    <n v="10"/>
    <x v="0"/>
    <s v="No"/>
    <s v="-"/>
    <s v="Yes"/>
    <n v="20"/>
    <n v="10"/>
    <n v="20"/>
    <x v="2"/>
  </r>
  <r>
    <n v="3418"/>
    <s v="Zacarias Costa"/>
    <x v="1"/>
    <x v="186"/>
    <s v="Yes"/>
    <n v="5"/>
    <x v="2"/>
    <s v="No"/>
    <s v="-"/>
    <s v="No"/>
    <n v="0"/>
    <n v="0"/>
    <n v="5"/>
    <x v="1"/>
  </r>
  <r>
    <n v="3419"/>
    <s v="André Lopes"/>
    <x v="0"/>
    <x v="187"/>
    <s v="No"/>
    <n v="15"/>
    <x v="0"/>
    <s v="Yes"/>
    <n v="30"/>
    <s v="Yes"/>
    <n v="20"/>
    <n v="3"/>
    <n v="62"/>
    <x v="0"/>
  </r>
  <r>
    <n v="3420"/>
    <s v="Beatriz Souza"/>
    <x v="2"/>
    <x v="188"/>
    <s v="Yes"/>
    <n v="10"/>
    <x v="1"/>
    <s v="No"/>
    <s v="-"/>
    <s v="Yes"/>
    <n v="20"/>
    <n v="15"/>
    <n v="15"/>
    <x v="2"/>
  </r>
  <r>
    <n v="3421"/>
    <s v="Caio Pereira"/>
    <x v="1"/>
    <x v="189"/>
    <s v="No"/>
    <n v="5"/>
    <x v="0"/>
    <s v="No"/>
    <s v="-"/>
    <s v="No"/>
    <n v="0"/>
    <n v="1"/>
    <n v="4"/>
    <x v="1"/>
  </r>
  <r>
    <n v="3422"/>
    <s v="Daniela Araújo"/>
    <x v="0"/>
    <x v="190"/>
    <s v="Yes"/>
    <n v="15"/>
    <x v="2"/>
    <s v="Yes"/>
    <n v="30"/>
    <s v="Yes"/>
    <n v="20"/>
    <n v="7"/>
    <n v="58"/>
    <x v="0"/>
  </r>
  <r>
    <n v="3423"/>
    <s v="Eduardo Santos"/>
    <x v="2"/>
    <x v="191"/>
    <s v="No"/>
    <n v="10"/>
    <x v="0"/>
    <s v="No"/>
    <s v="-"/>
    <s v="Yes"/>
    <n v="20"/>
    <n v="10"/>
    <n v="20"/>
    <x v="2"/>
  </r>
  <r>
    <n v="3424"/>
    <s v="Fernanda Lima"/>
    <x v="1"/>
    <x v="192"/>
    <s v="Yes"/>
    <n v="5"/>
    <x v="1"/>
    <s v="No"/>
    <s v="-"/>
    <s v="No"/>
    <n v="0"/>
    <n v="0"/>
    <n v="5"/>
    <x v="1"/>
  </r>
  <r>
    <n v="3425"/>
    <s v="Gabriel Teixeira"/>
    <x v="0"/>
    <x v="193"/>
    <s v="No"/>
    <n v="15"/>
    <x v="0"/>
    <s v="Yes"/>
    <n v="30"/>
    <s v="Yes"/>
    <n v="20"/>
    <n v="20"/>
    <n v="45"/>
    <x v="0"/>
  </r>
  <r>
    <n v="3426"/>
    <s v="Helena Ribeiro"/>
    <x v="2"/>
    <x v="194"/>
    <s v="Yes"/>
    <n v="10"/>
    <x v="2"/>
    <s v="No"/>
    <s v="-"/>
    <s v="Yes"/>
    <n v="20"/>
    <n v="15"/>
    <n v="15"/>
    <x v="2"/>
  </r>
  <r>
    <n v="3427"/>
    <s v="Igor Mendes"/>
    <x v="1"/>
    <x v="195"/>
    <s v="No"/>
    <n v="5"/>
    <x v="0"/>
    <s v="No"/>
    <s v="-"/>
    <s v="No"/>
    <n v="0"/>
    <n v="1"/>
    <n v="4"/>
    <x v="1"/>
  </r>
  <r>
    <n v="3428"/>
    <s v="Joana Silveira"/>
    <x v="0"/>
    <x v="196"/>
    <s v="Yes"/>
    <n v="15"/>
    <x v="1"/>
    <s v="Yes"/>
    <n v="30"/>
    <s v="Yes"/>
    <n v="20"/>
    <n v="3"/>
    <n v="62"/>
    <x v="0"/>
  </r>
  <r>
    <n v="3429"/>
    <s v="Lucas Martins"/>
    <x v="2"/>
    <x v="197"/>
    <s v="No"/>
    <n v="10"/>
    <x v="0"/>
    <s v="No"/>
    <s v="-"/>
    <s v="Yes"/>
    <n v="20"/>
    <n v="10"/>
    <n v="20"/>
    <x v="2"/>
  </r>
  <r>
    <n v="3430"/>
    <s v="Marcela Gouveia"/>
    <x v="1"/>
    <x v="198"/>
    <s v="Yes"/>
    <n v="5"/>
    <x v="2"/>
    <s v="No"/>
    <s v="-"/>
    <s v="No"/>
    <n v="0"/>
    <n v="0"/>
    <n v="5"/>
    <x v="1"/>
  </r>
  <r>
    <n v="3431"/>
    <s v="Nicolas Borges"/>
    <x v="0"/>
    <x v="199"/>
    <s v="No"/>
    <n v="15"/>
    <x v="0"/>
    <s v="Yes"/>
    <n v="30"/>
    <s v="Yes"/>
    <n v="20"/>
    <n v="15"/>
    <n v="50"/>
    <x v="0"/>
  </r>
  <r>
    <n v="3432"/>
    <s v="Olivia Freitas"/>
    <x v="2"/>
    <x v="200"/>
    <s v="Yes"/>
    <n v="10"/>
    <x v="1"/>
    <s v="No"/>
    <s v="-"/>
    <s v="Yes"/>
    <n v="20"/>
    <n v="15"/>
    <n v="15"/>
    <x v="2"/>
  </r>
  <r>
    <n v="3433"/>
    <s v="Paulo Nogueira"/>
    <x v="1"/>
    <x v="201"/>
    <s v="No"/>
    <n v="5"/>
    <x v="0"/>
    <s v="No"/>
    <s v="-"/>
    <s v="No"/>
    <n v="0"/>
    <n v="1"/>
    <n v="4"/>
    <x v="1"/>
  </r>
  <r>
    <n v="3434"/>
    <s v="Raquel Andrade"/>
    <x v="0"/>
    <x v="202"/>
    <s v="Yes"/>
    <n v="15"/>
    <x v="2"/>
    <s v="Yes"/>
    <n v="30"/>
    <s v="Yes"/>
    <n v="20"/>
    <n v="7"/>
    <n v="58"/>
    <x v="0"/>
  </r>
  <r>
    <n v="3435"/>
    <s v="Sônia Carvalho"/>
    <x v="2"/>
    <x v="203"/>
    <s v="No"/>
    <n v="10"/>
    <x v="0"/>
    <s v="No"/>
    <s v="-"/>
    <s v="Yes"/>
    <n v="20"/>
    <n v="10"/>
    <n v="20"/>
    <x v="2"/>
  </r>
  <r>
    <n v="3436"/>
    <s v="Tiago Rodrigues"/>
    <x v="1"/>
    <x v="204"/>
    <s v="Yes"/>
    <n v="5"/>
    <x v="0"/>
    <s v="No"/>
    <s v="-"/>
    <s v="No"/>
    <n v="0"/>
    <n v="0"/>
    <n v="5"/>
    <x v="1"/>
  </r>
  <r>
    <n v="3437"/>
    <s v="Ursula Monteiro"/>
    <x v="0"/>
    <x v="205"/>
    <s v="No"/>
    <n v="15"/>
    <x v="2"/>
    <s v="Yes"/>
    <n v="30"/>
    <s v="Yes"/>
    <n v="20"/>
    <n v="7"/>
    <n v="58"/>
    <x v="0"/>
  </r>
  <r>
    <n v="3438"/>
    <s v="Vanessa Pereira"/>
    <x v="2"/>
    <x v="206"/>
    <s v="Yes"/>
    <n v="10"/>
    <x v="1"/>
    <s v="No"/>
    <s v="-"/>
    <s v="Yes"/>
    <n v="20"/>
    <n v="10"/>
    <n v="20"/>
    <x v="2"/>
  </r>
  <r>
    <n v="3439"/>
    <s v="Walter Silva"/>
    <x v="1"/>
    <x v="207"/>
    <s v="No"/>
    <n v="5"/>
    <x v="2"/>
    <s v="No"/>
    <s v="-"/>
    <s v="No"/>
    <n v="0"/>
    <n v="1"/>
    <n v="4"/>
    <x v="1"/>
  </r>
  <r>
    <n v="3440"/>
    <s v="Xavier Almeida"/>
    <x v="0"/>
    <x v="208"/>
    <s v="Yes"/>
    <n v="15"/>
    <x v="0"/>
    <s v="Yes"/>
    <n v="30"/>
    <s v="Yes"/>
    <n v="20"/>
    <n v="15"/>
    <n v="50"/>
    <x v="0"/>
  </r>
  <r>
    <n v="3441"/>
    <s v="Yasmine Correia"/>
    <x v="2"/>
    <x v="209"/>
    <s v="No"/>
    <n v="10"/>
    <x v="0"/>
    <s v="No"/>
    <s v="-"/>
    <s v="Yes"/>
    <n v="20"/>
    <n v="5"/>
    <n v="25"/>
    <x v="2"/>
  </r>
  <r>
    <n v="3442"/>
    <s v="Zacarias Almeida"/>
    <x v="1"/>
    <x v="210"/>
    <s v="Yes"/>
    <n v="5"/>
    <x v="1"/>
    <s v="No"/>
    <s v="-"/>
    <s v="No"/>
    <n v="0"/>
    <n v="0"/>
    <n v="5"/>
    <x v="1"/>
  </r>
  <r>
    <n v="3443"/>
    <s v="Amanda Costa"/>
    <x v="0"/>
    <x v="211"/>
    <s v="No"/>
    <n v="15"/>
    <x v="2"/>
    <s v="Yes"/>
    <n v="30"/>
    <s v="Yes"/>
    <n v="20"/>
    <n v="20"/>
    <n v="45"/>
    <x v="0"/>
  </r>
  <r>
    <n v="3444"/>
    <s v="Bruno Ferreira"/>
    <x v="2"/>
    <x v="212"/>
    <s v="Yes"/>
    <n v="10"/>
    <x v="2"/>
    <s v="No"/>
    <s v="-"/>
    <s v="Yes"/>
    <n v="20"/>
    <n v="12"/>
    <n v="18"/>
    <x v="2"/>
  </r>
  <r>
    <n v="3445"/>
    <s v="Carla Dias"/>
    <x v="1"/>
    <x v="213"/>
    <s v="No"/>
    <n v="5"/>
    <x v="0"/>
    <s v="No"/>
    <s v="-"/>
    <s v="No"/>
    <n v="0"/>
    <n v="2"/>
    <n v="3"/>
    <x v="1"/>
  </r>
  <r>
    <n v="3446"/>
    <s v="Diogo Martins"/>
    <x v="0"/>
    <x v="214"/>
    <s v="Yes"/>
    <n v="15"/>
    <x v="1"/>
    <s v="Yes"/>
    <n v="30"/>
    <s v="Yes"/>
    <n v="20"/>
    <n v="5"/>
    <n v="60"/>
    <x v="0"/>
  </r>
  <r>
    <n v="3447"/>
    <s v="Elisa Campos"/>
    <x v="2"/>
    <x v="215"/>
    <s v="No"/>
    <n v="10"/>
    <x v="0"/>
    <s v="No"/>
    <s v="-"/>
    <s v="Yes"/>
    <n v="20"/>
    <n v="10"/>
    <n v="20"/>
    <x v="2"/>
  </r>
  <r>
    <n v="3448"/>
    <s v="Fabiana Lima"/>
    <x v="1"/>
    <x v="216"/>
    <s v="Yes"/>
    <n v="5"/>
    <x v="2"/>
    <s v="No"/>
    <s v="-"/>
    <s v="No"/>
    <n v="0"/>
    <n v="0"/>
    <n v="5"/>
    <x v="1"/>
  </r>
  <r>
    <n v="3449"/>
    <s v="Gabriel Santos"/>
    <x v="0"/>
    <x v="217"/>
    <s v="No"/>
    <n v="15"/>
    <x v="0"/>
    <s v="Yes"/>
    <n v="30"/>
    <s v="Yes"/>
    <n v="20"/>
    <n v="3"/>
    <n v="62"/>
    <x v="0"/>
  </r>
  <r>
    <n v="3450"/>
    <s v="Helena Ferreira"/>
    <x v="2"/>
    <x v="218"/>
    <s v="Yes"/>
    <n v="10"/>
    <x v="1"/>
    <s v="No"/>
    <s v="-"/>
    <s v="Yes"/>
    <n v="20"/>
    <n v="15"/>
    <n v="15"/>
    <x v="2"/>
  </r>
  <r>
    <n v="3451"/>
    <s v="Ígor Nunes"/>
    <x v="1"/>
    <x v="219"/>
    <s v="No"/>
    <n v="5"/>
    <x v="0"/>
    <s v="No"/>
    <s v="-"/>
    <s v="No"/>
    <n v="0"/>
    <n v="1"/>
    <n v="4"/>
    <x v="1"/>
  </r>
  <r>
    <n v="3452"/>
    <s v="Joana Silveira"/>
    <x v="0"/>
    <x v="220"/>
    <s v="Yes"/>
    <n v="15"/>
    <x v="2"/>
    <s v="Yes"/>
    <n v="30"/>
    <s v="Yes"/>
    <n v="20"/>
    <n v="7"/>
    <n v="58"/>
    <x v="0"/>
  </r>
  <r>
    <n v="3453"/>
    <s v="Kléber Oliveira"/>
    <x v="2"/>
    <x v="221"/>
    <s v="No"/>
    <n v="10"/>
    <x v="0"/>
    <s v="No"/>
    <s v="-"/>
    <s v="Yes"/>
    <n v="20"/>
    <n v="10"/>
    <n v="20"/>
    <x v="2"/>
  </r>
  <r>
    <n v="3454"/>
    <s v="Luciana Morais"/>
    <x v="1"/>
    <x v="222"/>
    <s v="Yes"/>
    <n v="5"/>
    <x v="1"/>
    <s v="No"/>
    <s v="-"/>
    <s v="No"/>
    <n v="0"/>
    <n v="0"/>
    <n v="5"/>
    <x v="1"/>
  </r>
  <r>
    <n v="3455"/>
    <s v="Marcos Vinícius"/>
    <x v="0"/>
    <x v="223"/>
    <s v="No"/>
    <n v="15"/>
    <x v="0"/>
    <s v="Yes"/>
    <n v="30"/>
    <s v="Yes"/>
    <n v="20"/>
    <n v="20"/>
    <n v="45"/>
    <x v="0"/>
  </r>
  <r>
    <n v="3456"/>
    <s v="Natália Barros"/>
    <x v="2"/>
    <x v="224"/>
    <s v="Yes"/>
    <n v="10"/>
    <x v="2"/>
    <s v="No"/>
    <s v="-"/>
    <s v="Yes"/>
    <n v="20"/>
    <n v="15"/>
    <n v="15"/>
    <x v="2"/>
  </r>
  <r>
    <n v="3457"/>
    <s v="Oscar Sampaio"/>
    <x v="1"/>
    <x v="225"/>
    <s v="No"/>
    <n v="5"/>
    <x v="0"/>
    <s v="No"/>
    <s v="-"/>
    <s v="No"/>
    <n v="0"/>
    <n v="1"/>
    <n v="4"/>
    <x v="1"/>
  </r>
  <r>
    <n v="3458"/>
    <s v="Patrícia Leite"/>
    <x v="0"/>
    <x v="226"/>
    <s v="Yes"/>
    <n v="15"/>
    <x v="1"/>
    <s v="Yes"/>
    <n v="30"/>
    <s v="Yes"/>
    <n v="20"/>
    <n v="3"/>
    <n v="62"/>
    <x v="0"/>
  </r>
  <r>
    <n v="3459"/>
    <s v="Quênia Rocha"/>
    <x v="2"/>
    <x v="227"/>
    <s v="No"/>
    <n v="10"/>
    <x v="0"/>
    <s v="No"/>
    <s v="-"/>
    <s v="Yes"/>
    <n v="20"/>
    <n v="10"/>
    <n v="20"/>
    <x v="2"/>
  </r>
  <r>
    <n v="3460"/>
    <s v="Rafael Torres"/>
    <x v="1"/>
    <x v="228"/>
    <s v="Yes"/>
    <n v="5"/>
    <x v="2"/>
    <s v="No"/>
    <s v="-"/>
    <s v="No"/>
    <n v="0"/>
    <n v="0"/>
    <n v="5"/>
    <x v="1"/>
  </r>
  <r>
    <n v="3461"/>
    <s v="Sandra Gouveia"/>
    <x v="0"/>
    <x v="229"/>
    <s v="No"/>
    <n v="15"/>
    <x v="0"/>
    <s v="Yes"/>
    <n v="30"/>
    <s v="Yes"/>
    <n v="20"/>
    <n v="15"/>
    <n v="50"/>
    <x v="0"/>
  </r>
  <r>
    <n v="3462"/>
    <s v="Tiago Lacerda"/>
    <x v="2"/>
    <x v="230"/>
    <s v="Yes"/>
    <n v="10"/>
    <x v="1"/>
    <s v="No"/>
    <s v="-"/>
    <s v="Yes"/>
    <n v="20"/>
    <n v="15"/>
    <n v="15"/>
    <x v="2"/>
  </r>
  <r>
    <n v="3463"/>
    <s v="Ursula Fonseca"/>
    <x v="1"/>
    <x v="231"/>
    <s v="No"/>
    <n v="5"/>
    <x v="0"/>
    <s v="No"/>
    <s v="-"/>
    <s v="No"/>
    <n v="0"/>
    <n v="1"/>
    <n v="4"/>
    <x v="1"/>
  </r>
  <r>
    <n v="3464"/>
    <s v="Vanessa Andrade"/>
    <x v="0"/>
    <x v="232"/>
    <s v="Yes"/>
    <n v="15"/>
    <x v="2"/>
    <s v="Yes"/>
    <n v="30"/>
    <s v="Yes"/>
    <n v="20"/>
    <n v="7"/>
    <n v="58"/>
    <x v="0"/>
  </r>
  <r>
    <n v="3465"/>
    <s v="William Castro"/>
    <x v="2"/>
    <x v="233"/>
    <s v="No"/>
    <n v="10"/>
    <x v="0"/>
    <s v="No"/>
    <s v="-"/>
    <s v="Yes"/>
    <n v="20"/>
    <n v="10"/>
    <n v="20"/>
    <x v="2"/>
  </r>
  <r>
    <n v="3466"/>
    <s v="Xavier Monteiro"/>
    <x v="1"/>
    <x v="234"/>
    <s v="Yes"/>
    <n v="5"/>
    <x v="1"/>
    <s v="No"/>
    <s v="-"/>
    <s v="No"/>
    <n v="0"/>
    <n v="0"/>
    <n v="5"/>
    <x v="1"/>
  </r>
  <r>
    <n v="3467"/>
    <s v="Yasmin Figueira"/>
    <x v="0"/>
    <x v="235"/>
    <s v="No"/>
    <n v="15"/>
    <x v="0"/>
    <s v="Yes"/>
    <n v="30"/>
    <s v="Yes"/>
    <n v="20"/>
    <n v="15"/>
    <n v="50"/>
    <x v="0"/>
  </r>
  <r>
    <n v="3468"/>
    <s v="Zacarias Mendonça"/>
    <x v="2"/>
    <x v="236"/>
    <s v="Yes"/>
    <n v="10"/>
    <x v="2"/>
    <s v="No"/>
    <s v="-"/>
    <s v="Yes"/>
    <n v="20"/>
    <n v="12"/>
    <n v="18"/>
    <x v="2"/>
  </r>
  <r>
    <n v="3469"/>
    <s v="Amanda Menezes"/>
    <x v="1"/>
    <x v="237"/>
    <s v="No"/>
    <n v="5"/>
    <x v="0"/>
    <s v="No"/>
    <s v="-"/>
    <s v="No"/>
    <n v="0"/>
    <n v="2"/>
    <n v="3"/>
    <x v="1"/>
  </r>
  <r>
    <n v="3470"/>
    <s v="Bruno Santos"/>
    <x v="0"/>
    <x v="238"/>
    <s v="Yes"/>
    <n v="15"/>
    <x v="1"/>
    <s v="Yes"/>
    <n v="30"/>
    <s v="Yes"/>
    <n v="20"/>
    <n v="5"/>
    <n v="60"/>
    <x v="0"/>
  </r>
  <r>
    <n v="3471"/>
    <s v="Carla Ferreira"/>
    <x v="2"/>
    <x v="239"/>
    <s v="No"/>
    <n v="10"/>
    <x v="0"/>
    <s v="No"/>
    <s v="-"/>
    <s v="Yes"/>
    <n v="20"/>
    <n v="10"/>
    <n v="20"/>
    <x v="2"/>
  </r>
  <r>
    <n v="3472"/>
    <s v="Diogo Alves"/>
    <x v="1"/>
    <x v="240"/>
    <s v="Yes"/>
    <n v="5"/>
    <x v="2"/>
    <s v="No"/>
    <s v="-"/>
    <s v="No"/>
    <n v="0"/>
    <n v="0"/>
    <n v="5"/>
    <x v="1"/>
  </r>
  <r>
    <n v="3473"/>
    <s v="Elisa Neves"/>
    <x v="0"/>
    <x v="241"/>
    <s v="No"/>
    <n v="15"/>
    <x v="0"/>
    <s v="Yes"/>
    <n v="30"/>
    <s v="Yes"/>
    <n v="20"/>
    <n v="3"/>
    <n v="62"/>
    <x v="0"/>
  </r>
  <r>
    <n v="3474"/>
    <s v="Fabiano Pires"/>
    <x v="2"/>
    <x v="242"/>
    <s v="Yes"/>
    <n v="10"/>
    <x v="1"/>
    <s v="No"/>
    <s v="-"/>
    <s v="Yes"/>
    <n v="20"/>
    <n v="15"/>
    <n v="15"/>
    <x v="2"/>
  </r>
  <r>
    <n v="3475"/>
    <s v="Giovana Ribeiro"/>
    <x v="1"/>
    <x v="243"/>
    <s v="No"/>
    <n v="5"/>
    <x v="0"/>
    <s v="No"/>
    <s v="-"/>
    <s v="No"/>
    <n v="0"/>
    <n v="1"/>
    <n v="4"/>
    <x v="1"/>
  </r>
  <r>
    <n v="3476"/>
    <s v="Hélio Costa"/>
    <x v="0"/>
    <x v="244"/>
    <s v="Yes"/>
    <n v="15"/>
    <x v="2"/>
    <s v="Yes"/>
    <n v="30"/>
    <s v="Yes"/>
    <n v="20"/>
    <n v="7"/>
    <n v="58"/>
    <x v="0"/>
  </r>
  <r>
    <n v="3477"/>
    <s v="Íris Loureiro"/>
    <x v="2"/>
    <x v="245"/>
    <s v="No"/>
    <n v="10"/>
    <x v="0"/>
    <s v="No"/>
    <s v="-"/>
    <s v="Yes"/>
    <n v="20"/>
    <n v="10"/>
    <n v="20"/>
    <x v="2"/>
  </r>
  <r>
    <n v="3478"/>
    <s v="João Pereira"/>
    <x v="1"/>
    <x v="246"/>
    <s v="Yes"/>
    <n v="5"/>
    <x v="1"/>
    <s v="No"/>
    <s v="-"/>
    <s v="No"/>
    <n v="0"/>
    <n v="0"/>
    <n v="5"/>
    <x v="1"/>
  </r>
  <r>
    <n v="3479"/>
    <s v="Klara Silva"/>
    <x v="0"/>
    <x v="247"/>
    <s v="No"/>
    <n v="15"/>
    <x v="0"/>
    <s v="Yes"/>
    <n v="30"/>
    <s v="Yes"/>
    <n v="20"/>
    <n v="20"/>
    <n v="45"/>
    <x v="0"/>
  </r>
  <r>
    <n v="3480"/>
    <s v="Luciana Barros"/>
    <x v="2"/>
    <x v="248"/>
    <s v="Yes"/>
    <n v="10"/>
    <x v="2"/>
    <s v="No"/>
    <s v="-"/>
    <s v="Yes"/>
    <n v="20"/>
    <n v="15"/>
    <n v="15"/>
    <x v="2"/>
  </r>
  <r>
    <n v="3481"/>
    <s v="Marcos Gomes"/>
    <x v="1"/>
    <x v="249"/>
    <s v="No"/>
    <n v="5"/>
    <x v="0"/>
    <s v="No"/>
    <s v="-"/>
    <s v="No"/>
    <n v="0"/>
    <n v="1"/>
    <n v="4"/>
    <x v="1"/>
  </r>
  <r>
    <n v="3482"/>
    <s v="Natália Soares"/>
    <x v="0"/>
    <x v="250"/>
    <s v="Yes"/>
    <n v="15"/>
    <x v="1"/>
    <s v="Yes"/>
    <n v="30"/>
    <s v="Yes"/>
    <n v="20"/>
    <n v="3"/>
    <n v="62"/>
    <x v="0"/>
  </r>
  <r>
    <n v="3483"/>
    <s v="Oscar Machado"/>
    <x v="2"/>
    <x v="251"/>
    <s v="No"/>
    <n v="10"/>
    <x v="0"/>
    <s v="No"/>
    <s v="-"/>
    <s v="Yes"/>
    <n v="20"/>
    <n v="10"/>
    <n v="20"/>
    <x v="2"/>
  </r>
  <r>
    <n v="3484"/>
    <s v="Patrícia Lima"/>
    <x v="1"/>
    <x v="252"/>
    <s v="Yes"/>
    <n v="5"/>
    <x v="2"/>
    <s v="No"/>
    <s v="-"/>
    <s v="No"/>
    <n v="0"/>
    <n v="0"/>
    <n v="5"/>
    <x v="1"/>
  </r>
  <r>
    <n v="3485"/>
    <s v="Quirino Neto"/>
    <x v="0"/>
    <x v="253"/>
    <s v="No"/>
    <n v="15"/>
    <x v="0"/>
    <s v="Yes"/>
    <n v="30"/>
    <s v="Yes"/>
    <n v="20"/>
    <n v="15"/>
    <n v="50"/>
    <x v="0"/>
  </r>
  <r>
    <n v="3486"/>
    <s v="Rafaela Souza"/>
    <x v="1"/>
    <x v="254"/>
    <s v="Yes"/>
    <n v="5"/>
    <x v="0"/>
    <s v="No"/>
    <s v="-"/>
    <s v="No"/>
    <n v="0"/>
    <n v="0"/>
    <n v="5"/>
    <x v="1"/>
  </r>
  <r>
    <n v="3487"/>
    <s v="Sandro Almeida"/>
    <x v="0"/>
    <x v="255"/>
    <s v="No"/>
    <n v="15"/>
    <x v="2"/>
    <s v="Yes"/>
    <n v="30"/>
    <s v="Yes"/>
    <n v="20"/>
    <n v="7"/>
    <n v="58"/>
    <x v="0"/>
  </r>
  <r>
    <n v="3488"/>
    <s v="Tânia Ribeiro"/>
    <x v="2"/>
    <x v="256"/>
    <s v="Yes"/>
    <n v="10"/>
    <x v="1"/>
    <s v="No"/>
    <s v="-"/>
    <s v="Yes"/>
    <n v="20"/>
    <n v="10"/>
    <n v="20"/>
    <x v="2"/>
  </r>
  <r>
    <n v="3489"/>
    <s v="Ugo Dias"/>
    <x v="1"/>
    <x v="257"/>
    <s v="No"/>
    <n v="5"/>
    <x v="2"/>
    <s v="No"/>
    <s v="-"/>
    <s v="No"/>
    <n v="0"/>
    <n v="1"/>
    <n v="4"/>
    <x v="1"/>
  </r>
  <r>
    <n v="3490"/>
    <s v="Valéria Lima"/>
    <x v="0"/>
    <x v="258"/>
    <s v="Yes"/>
    <n v="15"/>
    <x v="0"/>
    <s v="Yes"/>
    <n v="30"/>
    <s v="Yes"/>
    <n v="20"/>
    <n v="15"/>
    <n v="50"/>
    <x v="0"/>
  </r>
  <r>
    <n v="3491"/>
    <s v="William Fernandes"/>
    <x v="2"/>
    <x v="259"/>
    <s v="No"/>
    <n v="10"/>
    <x v="0"/>
    <s v="No"/>
    <s v="-"/>
    <s v="Yes"/>
    <n v="20"/>
    <n v="5"/>
    <n v="25"/>
    <x v="2"/>
  </r>
  <r>
    <n v="3492"/>
    <s v="Xuxa Mendes"/>
    <x v="1"/>
    <x v="260"/>
    <s v="Yes"/>
    <n v="5"/>
    <x v="1"/>
    <s v="No"/>
    <s v="-"/>
    <s v="No"/>
    <n v="0"/>
    <n v="0"/>
    <n v="5"/>
    <x v="1"/>
  </r>
  <r>
    <n v="3493"/>
    <s v="Ygor Farias"/>
    <x v="0"/>
    <x v="261"/>
    <s v="No"/>
    <n v="15"/>
    <x v="2"/>
    <s v="Yes"/>
    <n v="30"/>
    <s v="Yes"/>
    <n v="20"/>
    <n v="20"/>
    <n v="45"/>
    <x v="0"/>
  </r>
  <r>
    <n v="3494"/>
    <s v="Zilda Barros"/>
    <x v="2"/>
    <x v="262"/>
    <s v="Yes"/>
    <n v="10"/>
    <x v="2"/>
    <s v="No"/>
    <s v="-"/>
    <s v="Yes"/>
    <n v="20"/>
    <n v="12"/>
    <n v="18"/>
    <x v="2"/>
  </r>
  <r>
    <n v="3495"/>
    <s v="Amanda Santos"/>
    <x v="1"/>
    <x v="263"/>
    <s v="No"/>
    <n v="5"/>
    <x v="0"/>
    <s v="No"/>
    <s v="-"/>
    <s v="No"/>
    <n v="0"/>
    <n v="2"/>
    <n v="3"/>
    <x v="1"/>
  </r>
  <r>
    <n v="3496"/>
    <s v="Bruno Costa"/>
    <x v="0"/>
    <x v="264"/>
    <s v="Yes"/>
    <n v="15"/>
    <x v="1"/>
    <s v="Yes"/>
    <n v="30"/>
    <s v="Yes"/>
    <n v="20"/>
    <n v="5"/>
    <n v="60"/>
    <x v="0"/>
  </r>
  <r>
    <n v="3497"/>
    <s v="Carla Rodrigues"/>
    <x v="2"/>
    <x v="265"/>
    <s v="No"/>
    <n v="10"/>
    <x v="0"/>
    <s v="No"/>
    <s v="-"/>
    <s v="Yes"/>
    <n v="20"/>
    <n v="10"/>
    <n v="20"/>
    <x v="2"/>
  </r>
  <r>
    <n v="3498"/>
    <s v="Diogo Pereira"/>
    <x v="1"/>
    <x v="266"/>
    <s v="Yes"/>
    <n v="5"/>
    <x v="2"/>
    <s v="No"/>
    <s v="-"/>
    <s v="No"/>
    <n v="0"/>
    <n v="0"/>
    <n v="5"/>
    <x v="1"/>
  </r>
  <r>
    <n v="3499"/>
    <s v="Elisa Correia"/>
    <x v="0"/>
    <x v="267"/>
    <s v="No"/>
    <n v="15"/>
    <x v="0"/>
    <s v="Yes"/>
    <n v="30"/>
    <s v="Yes"/>
    <n v="20"/>
    <n v="3"/>
    <n v="62"/>
    <x v="0"/>
  </r>
  <r>
    <n v="3500"/>
    <s v="Fábio Lourenço"/>
    <x v="2"/>
    <x v="268"/>
    <s v="Yes"/>
    <n v="10"/>
    <x v="1"/>
    <s v="No"/>
    <s v="-"/>
    <s v="Yes"/>
    <n v="20"/>
    <n v="15"/>
    <n v="15"/>
    <x v="2"/>
  </r>
  <r>
    <n v="3501"/>
    <s v="Gabriela Neves"/>
    <x v="1"/>
    <x v="269"/>
    <s v="No"/>
    <n v="5"/>
    <x v="0"/>
    <s v="No"/>
    <s v="-"/>
    <s v="No"/>
    <n v="0"/>
    <n v="1"/>
    <n v="4"/>
    <x v="1"/>
  </r>
  <r>
    <n v="3502"/>
    <s v="Henrique Gonçalves"/>
    <x v="0"/>
    <x v="270"/>
    <s v="Yes"/>
    <n v="15"/>
    <x v="2"/>
    <s v="Yes"/>
    <n v="30"/>
    <s v="Yes"/>
    <n v="20"/>
    <n v="7"/>
    <n v="58"/>
    <x v="0"/>
  </r>
  <r>
    <n v="3503"/>
    <s v="Íris Santos"/>
    <x v="2"/>
    <x v="271"/>
    <s v="No"/>
    <n v="10"/>
    <x v="0"/>
    <s v="No"/>
    <s v="-"/>
    <s v="Yes"/>
    <n v="20"/>
    <n v="10"/>
    <n v="20"/>
    <x v="2"/>
  </r>
  <r>
    <n v="3504"/>
    <s v="João Marcelo Alves"/>
    <x v="1"/>
    <x v="272"/>
    <s v="Yes"/>
    <n v="5"/>
    <x v="1"/>
    <s v="No"/>
    <s v="-"/>
    <s v="No"/>
    <n v="0"/>
    <n v="0"/>
    <n v="5"/>
    <x v="1"/>
  </r>
  <r>
    <n v="3505"/>
    <s v="Klara Fonseca"/>
    <x v="0"/>
    <x v="273"/>
    <s v="No"/>
    <n v="15"/>
    <x v="0"/>
    <s v="Yes"/>
    <n v="30"/>
    <s v="Yes"/>
    <n v="20"/>
    <n v="20"/>
    <n v="45"/>
    <x v="0"/>
  </r>
  <r>
    <n v="3506"/>
    <s v="Lucas Mendonça"/>
    <x v="2"/>
    <x v="274"/>
    <s v="Yes"/>
    <n v="10"/>
    <x v="2"/>
    <s v="No"/>
    <s v="-"/>
    <s v="Yes"/>
    <n v="20"/>
    <n v="15"/>
    <n v="15"/>
    <x v="2"/>
  </r>
  <r>
    <n v="3507"/>
    <s v="Marcela Torres"/>
    <x v="1"/>
    <x v="275"/>
    <s v="No"/>
    <n v="5"/>
    <x v="0"/>
    <s v="No"/>
    <s v="-"/>
    <s v="No"/>
    <n v="0"/>
    <n v="1"/>
    <n v="4"/>
    <x v="1"/>
  </r>
  <r>
    <n v="3508"/>
    <s v="Natália Castro"/>
    <x v="0"/>
    <x v="276"/>
    <s v="Yes"/>
    <n v="15"/>
    <x v="1"/>
    <s v="Yes"/>
    <n v="30"/>
    <s v="Yes"/>
    <n v="20"/>
    <n v="3"/>
    <n v="62"/>
    <x v="0"/>
  </r>
  <r>
    <n v="3509"/>
    <s v="Oscar Martins"/>
    <x v="2"/>
    <x v="277"/>
    <s v="No"/>
    <n v="10"/>
    <x v="0"/>
    <s v="No"/>
    <s v="-"/>
    <s v="Yes"/>
    <n v="20"/>
    <n v="10"/>
    <n v="20"/>
    <x v="2"/>
  </r>
  <r>
    <n v="3510"/>
    <s v="Patrícia Oliveira"/>
    <x v="1"/>
    <x v="278"/>
    <s v="Yes"/>
    <n v="5"/>
    <x v="2"/>
    <s v="No"/>
    <s v="-"/>
    <s v="No"/>
    <n v="0"/>
    <n v="0"/>
    <n v="5"/>
    <x v="1"/>
  </r>
  <r>
    <n v="3511"/>
    <s v="Quentin Nogueira"/>
    <x v="0"/>
    <x v="279"/>
    <s v="No"/>
    <n v="15"/>
    <x v="0"/>
    <s v="Yes"/>
    <n v="30"/>
    <s v="Yes"/>
    <n v="20"/>
    <n v="15"/>
    <n v="50"/>
    <x v="0"/>
  </r>
  <r>
    <n v="3512"/>
    <s v="Raquel Silva"/>
    <x v="2"/>
    <x v="280"/>
    <s v="Yes"/>
    <n v="10"/>
    <x v="1"/>
    <s v="No"/>
    <s v="-"/>
    <s v="Yes"/>
    <n v="20"/>
    <n v="15"/>
    <n v="15"/>
    <x v="2"/>
  </r>
  <r>
    <n v="3513"/>
    <s v="Sandro Gomes"/>
    <x v="1"/>
    <x v="281"/>
    <s v="No"/>
    <n v="5"/>
    <x v="0"/>
    <s v="No"/>
    <s v="-"/>
    <s v="No"/>
    <n v="0"/>
    <n v="1"/>
    <n v="4"/>
    <x v="1"/>
  </r>
  <r>
    <n v="3514"/>
    <s v="Tânia Machado"/>
    <x v="0"/>
    <x v="282"/>
    <s v="Yes"/>
    <n v="15"/>
    <x v="2"/>
    <s v="Yes"/>
    <n v="30"/>
    <s v="Yes"/>
    <n v="20"/>
    <n v="7"/>
    <n v="58"/>
    <x v="0"/>
  </r>
  <r>
    <n v="3515"/>
    <s v="Ursula Silva"/>
    <x v="2"/>
    <x v="283"/>
    <s v="No"/>
    <n v="10"/>
    <x v="0"/>
    <s v="No"/>
    <s v="-"/>
    <s v="Yes"/>
    <n v="20"/>
    <n v="10"/>
    <n v="20"/>
    <x v="2"/>
  </r>
  <r>
    <n v="3516"/>
    <s v="Vanessa Moraes"/>
    <x v="1"/>
    <x v="284"/>
    <s v="Yes"/>
    <n v="5"/>
    <x v="1"/>
    <s v="No"/>
    <s v="-"/>
    <s v="No"/>
    <n v="0"/>
    <n v="0"/>
    <n v="5"/>
    <x v="1"/>
  </r>
  <r>
    <n v="3517"/>
    <s v="William Carvalho"/>
    <x v="0"/>
    <x v="285"/>
    <s v="No"/>
    <n v="15"/>
    <x v="0"/>
    <s v="Yes"/>
    <n v="30"/>
    <s v="Yes"/>
    <n v="20"/>
    <n v="20"/>
    <n v="45"/>
    <x v="0"/>
  </r>
  <r>
    <n v="3518"/>
    <s v="Xavier Reis"/>
    <x v="2"/>
    <x v="286"/>
    <s v="Yes"/>
    <n v="10"/>
    <x v="2"/>
    <s v="No"/>
    <s v="-"/>
    <s v="Yes"/>
    <n v="20"/>
    <n v="12"/>
    <n v="18"/>
    <x v="2"/>
  </r>
  <r>
    <n v="3519"/>
    <s v="Yasmin Rocha"/>
    <x v="1"/>
    <x v="287"/>
    <s v="No"/>
    <n v="5"/>
    <x v="0"/>
    <s v="No"/>
    <s v="-"/>
    <s v="No"/>
    <n v="0"/>
    <n v="2"/>
    <n v="3"/>
    <x v="1"/>
  </r>
  <r>
    <n v="3520"/>
    <s v="Zacarias Duarte"/>
    <x v="0"/>
    <x v="288"/>
    <s v="Yes"/>
    <n v="15"/>
    <x v="1"/>
    <s v="Yes"/>
    <n v="30"/>
    <s v="Yes"/>
    <n v="20"/>
    <n v="5"/>
    <n v="60"/>
    <x v="0"/>
  </r>
  <r>
    <n v="3521"/>
    <s v="Amanda Freitas"/>
    <x v="2"/>
    <x v="289"/>
    <s v="No"/>
    <n v="10"/>
    <x v="0"/>
    <s v="No"/>
    <s v="-"/>
    <s v="Yes"/>
    <n v="20"/>
    <n v="10"/>
    <n v="20"/>
    <x v="2"/>
  </r>
  <r>
    <n v="3522"/>
    <s v="Bruno Almeida"/>
    <x v="1"/>
    <x v="290"/>
    <s v="Yes"/>
    <n v="5"/>
    <x v="2"/>
    <s v="No"/>
    <s v="-"/>
    <s v="No"/>
    <n v="0"/>
    <n v="0"/>
    <n v="5"/>
    <x v="1"/>
  </r>
  <r>
    <n v="3523"/>
    <s v="Carla Siqueira"/>
    <x v="0"/>
    <x v="291"/>
    <s v="No"/>
    <n v="15"/>
    <x v="0"/>
    <s v="Yes"/>
    <n v="30"/>
    <s v="Yes"/>
    <n v="20"/>
    <n v="3"/>
    <n v="62"/>
    <x v="0"/>
  </r>
  <r>
    <n v="3524"/>
    <s v="Diogo Ramos"/>
    <x v="2"/>
    <x v="292"/>
    <s v="Yes"/>
    <n v="10"/>
    <x v="1"/>
    <s v="No"/>
    <s v="-"/>
    <s v="Yes"/>
    <n v="20"/>
    <n v="15"/>
    <n v="15"/>
    <x v="2"/>
  </r>
  <r>
    <n v="3525"/>
    <s v="Elisa Magalhães"/>
    <x v="1"/>
    <x v="293"/>
    <s v="No"/>
    <n v="5"/>
    <x v="0"/>
    <s v="No"/>
    <s v="-"/>
    <s v="No"/>
    <n v="0"/>
    <n v="1"/>
    <n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BE5D82-75C8-42D8-AC9E-07D890251312}" name="Tabela dinâmica1" cacheId="4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:A2" firstHeaderRow="1" firstDataRow="1" firstDataCol="0"/>
  <pivotFields count="15">
    <pivotField dataField="1"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Contagem de Subscriber ID" fld="0" subtotal="count" baseField="0" baseItem="83947352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306879-1D9D-47F1-B33B-C647B186A966}" name="Tabela dinâmica5" cacheId="4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O3:O4" firstHeaderRow="1" firstDataRow="1" firstDataCol="0" rowPageCount="1" colPageCount="1"/>
  <pivotFields count="15"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dataField="1"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name="MINE PASS" axis="axisPage" showAll="0">
      <items count="4">
        <item x="1"/>
        <item x="2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pageFields count="1">
    <pageField fld="13" item="1" hier="-1"/>
  </pageFields>
  <dataFields count="1">
    <dataField name="Soma de Subscription Price" fld="5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69ED82-1820-4F29-91A5-B66E361CC9B4}" name="Tabela dinâmica4" cacheId="4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K1:L5" firstHeaderRow="1" firstDataRow="1" firstDataCol="1"/>
  <pivotFields count="15"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dataField="1"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axis="axisRow" showAll="0">
      <items count="4">
        <item x="1"/>
        <item x="2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Subscription Price" fld="5" baseField="0" baseItem="0"/>
  </dataFields>
  <formats count="3">
    <format dxfId="3">
      <pivotArea collapsedLevelsAreSubtotals="1" fieldPosition="0">
        <references count="1">
          <reference field="13" count="1">
            <x v="0"/>
          </reference>
        </references>
      </pivotArea>
    </format>
    <format dxfId="2">
      <pivotArea collapsedLevelsAreSubtotals="1" fieldPosition="0">
        <references count="1">
          <reference field="13" count="1">
            <x v="1"/>
          </reference>
        </references>
      </pivotArea>
    </format>
    <format dxfId="1">
      <pivotArea collapsedLevelsAreSubtotals="1" fieldPosition="0">
        <references count="1">
          <reference field="13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38934E-3F89-40CD-8EB8-8B4A32C0DB68}" name="Tabela dinâmica3" cacheId="4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3:G4" firstHeaderRow="1" firstDataRow="1" firstDataCol="0"/>
  <pivotFields count="15"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dataField="1"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oma de Subscription Price" fld="5" baseField="0" baseItem="839473522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613A64-09D6-4D4E-A354-DB4E2614ECC1}" name="Tabela dinâmica23" cacheId="4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Y1:Z14" firstHeaderRow="1" firstDataRow="1" firstDataCol="1"/>
  <pivotFields count="15">
    <pivotField showAll="0"/>
    <pivotField showAll="0"/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dataField="1"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4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Subscription Price" fld="5" baseField="14" baseItem="1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37EBC0-82A4-4EBB-BEDC-0083E66DD8DC}" name="Tabela dinâmica8" cacheId="4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V3:V4" firstHeaderRow="1" firstDataRow="1" firstDataCol="0" rowPageCount="1" colPageCount="1"/>
  <pivotFields count="15"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dataField="1"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name="COM EA E MINE PASS" axis="axisPage" multipleItemSelectionAllowed="1" showAll="0">
      <items count="4">
        <item h="1" x="1"/>
        <item h="1" x="2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pageFields count="1">
    <pageField fld="13" hier="-1"/>
  </pageFields>
  <dataFields count="1">
    <dataField name="Soma de Subscription Price" fld="5" baseField="0" baseItem="0" numFmtId="16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8AAB8-912C-4B4E-B37B-5FBE1F04D053}" name="Tabela dinâmica2" cacheId="4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8">
  <location ref="D1:E5" firstHeaderRow="1" firstDataRow="1" firstDataCol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dataField="1"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Subscription Price" fld="5" showDataAs="percentOfTotal" baseField="2" baseItem="0" numFmtId="10"/>
  </dataFields>
  <chartFormats count="4"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C5B9EE-26B0-449F-AF89-B2D479FA701A}" name="Tabela dinâmica7" cacheId="4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S3:S4" firstHeaderRow="1" firstDataRow="1" firstDataCol="0" rowPageCount="1" colPageCount="1"/>
  <pivotFields count="15"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dataField="1"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name="SEM EA E SEM MINE PASS" axis="axisPage" multipleItemSelectionAllowed="1" showAll="0">
      <items count="4">
        <item x="1"/>
        <item h="1" x="2"/>
        <item h="1"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pageFields count="1">
    <pageField fld="13" hier="-1"/>
  </pageFields>
  <dataFields count="1">
    <dataField name="Soma de Subscription Price" fld="5" baseField="0" baseItem="0" numFmtId="164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14E4DF4-B75D-415C-AF39-5BEABB371949}" sourceName="Subscription Type">
  <pivotTables>
    <pivotTable tabId="3" name="Tabela dinâmica3"/>
    <pivotTable tabId="3" name="Tabela dinâmica1"/>
    <pivotTable tabId="3" name="Tabela dinâmica2"/>
    <pivotTable tabId="3" name="Tabela dinâmica4"/>
    <pivotTable tabId="3" name="Tabela dinâmica5"/>
    <pivotTable tabId="3" name="Tabela dinâmica7"/>
    <pivotTable tabId="3" name="Tabela dinâmica8"/>
  </pivotTables>
  <data>
    <tabular pivotCacheId="1197338280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6AEFA4CD-7C03-42CF-A74B-0DB6F7EB997A}" cache="SegmentaçãodeDados_Subscription_Type" caption="Subscription Type" showCaption="0" style="SlicerStyleDark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N296" totalsRowShown="0" dataDxfId="20">
  <tableColumns count="14">
    <tableColumn id="1" xr3:uid="{C4A90516-688A-46BF-9167-EA16C2A8A652}" name="Subscriber ID" dataDxfId="19"/>
    <tableColumn id="2" xr3:uid="{53DD39D0-2220-4121-9E9D-4EAA7E151C0F}" name="Name" dataDxfId="18"/>
    <tableColumn id="3" xr3:uid="{4F5FF271-4C57-4BE0-8F2C-F82C8551625C}" name="Plan" dataDxfId="17"/>
    <tableColumn id="4" xr3:uid="{8C17EB93-79B9-4E55-B8F7-BEB82F8253E9}" name="Start Date" dataDxfId="16"/>
    <tableColumn id="5" xr3:uid="{48CEDF9B-1689-482A-A828-5CCE7713264A}" name="Auto Renewal" dataDxfId="15"/>
    <tableColumn id="6" xr3:uid="{78B82374-9AA7-4E38-AE4F-78CDE6C83720}" name="Subscription Price" dataDxfId="14" dataCellStyle="Moeda"/>
    <tableColumn id="7" xr3:uid="{F2433F68-AF33-49D0-B1FB-19A396074EDE}" name="Subscription Type" dataDxfId="13"/>
    <tableColumn id="8" xr3:uid="{FD4D9C95-F6E5-4933-9068-A71FF7DF9343}" name="EA Play Season Pass" dataDxfId="12"/>
    <tableColumn id="13" xr3:uid="{978DD0D2-834E-4CE4-A39B-30976086932F}" name="EA Play Season Pass_x000a_Price" dataDxfId="11" dataCellStyle="Moeda"/>
    <tableColumn id="9" xr3:uid="{6E29F111-C395-4580-9DAD-3407D9E8B1A4}" name="Minecraft Season Pass" dataDxfId="10"/>
    <tableColumn id="10" xr3:uid="{EF544EAA-7F25-4FD5-A10E-8E62804DB9E3}" name="Minecraft Season Pass Price" dataDxfId="9" dataCellStyle="Moeda"/>
    <tableColumn id="11" xr3:uid="{7F6EB64A-1F07-4E48-9F0F-AC7D9DCD26F8}" name="Coupon Value" dataDxfId="8" dataCellStyle="Moeda"/>
    <tableColumn id="12" xr3:uid="{2B04ABC8-DE6F-426E-ADC0-D8AFC68CA58E}" name="Total Value" dataDxfId="7" dataCellStyle="Moeda"/>
    <tableColumn id="14" xr3:uid="{3E83804A-799C-4CF7-8CAB-5689C6764B40}" name="SEGMENTO" dataDxfId="6" dataCellStyle="Moeda">
      <calculatedColumnFormula>IF(Tabela1[[#This Row],[EA Play Season Pass]]="Yes","COM EA PASS"," SEM EA PASS")&amp;" / "&amp;(IF(Tabela1[[#This Row],[Minecraft Season Pass]]="Yes","COM MINE PASS"," SEM MINE PASS"))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O21"/>
  <sheetViews>
    <sheetView showGridLines="0" topLeftCell="A7" zoomScaleNormal="100" workbookViewId="0">
      <selection activeCell="N13" sqref="N13"/>
    </sheetView>
  </sheetViews>
  <sheetFormatPr defaultRowHeight="14.25"/>
  <cols>
    <col min="9" max="9" width="7.375" bestFit="1" customWidth="1"/>
  </cols>
  <sheetData>
    <row r="3" spans="2:15" ht="20.25" thickBot="1">
      <c r="B3" s="1" t="s">
        <v>0</v>
      </c>
      <c r="C3" s="1"/>
      <c r="D3" s="1"/>
      <c r="E3" s="1"/>
      <c r="F3" s="1"/>
      <c r="G3" s="1"/>
      <c r="H3" s="1"/>
    </row>
    <row r="4" spans="2:15" ht="15" thickTop="1"/>
    <row r="5" spans="2:15">
      <c r="B5" s="3" t="s">
        <v>2</v>
      </c>
      <c r="C5" t="s">
        <v>8</v>
      </c>
      <c r="E5" s="7" t="s">
        <v>6</v>
      </c>
      <c r="F5" t="s">
        <v>7</v>
      </c>
      <c r="I5" t="s">
        <v>313</v>
      </c>
      <c r="J5" t="s">
        <v>314</v>
      </c>
    </row>
    <row r="6" spans="2:15">
      <c r="B6" s="4" t="s">
        <v>3</v>
      </c>
      <c r="C6" t="s">
        <v>8</v>
      </c>
    </row>
    <row r="7" spans="2:15">
      <c r="B7" s="5" t="s">
        <v>4</v>
      </c>
      <c r="C7" t="s">
        <v>9</v>
      </c>
    </row>
    <row r="8" spans="2:15">
      <c r="B8" s="6" t="s">
        <v>5</v>
      </c>
      <c r="C8" t="s">
        <v>9</v>
      </c>
    </row>
    <row r="12" spans="2:15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</row>
    <row r="13" spans="2:15" ht="15" thickTop="1">
      <c r="B13" s="2"/>
      <c r="C13" s="2"/>
      <c r="D13" s="2"/>
      <c r="E13" s="2"/>
      <c r="F13" s="2"/>
      <c r="G13" s="2"/>
      <c r="H13" s="2"/>
    </row>
    <row r="14" spans="2:15">
      <c r="B14" s="2"/>
      <c r="C14" s="2"/>
      <c r="D14" s="2"/>
      <c r="E14" s="2"/>
      <c r="F14" s="2"/>
      <c r="G14" s="2"/>
      <c r="H14" s="2"/>
    </row>
    <row r="15" spans="2:15">
      <c r="B15" s="2"/>
      <c r="C15" s="2"/>
      <c r="D15" s="2"/>
      <c r="E15" s="2"/>
      <c r="F15" s="2"/>
      <c r="G15" s="2"/>
      <c r="H15" s="2"/>
    </row>
    <row r="16" spans="2:15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N296"/>
  <sheetViews>
    <sheetView zoomScale="90" zoomScaleNormal="90" workbookViewId="0">
      <selection activeCell="C1" sqref="C1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  <col min="14" max="14" width="33.875" bestFit="1" customWidth="1"/>
  </cols>
  <sheetData>
    <row r="1" spans="1:14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  <c r="N1" t="s">
        <v>319</v>
      </c>
    </row>
    <row r="2" spans="1:14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  <c r="N2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3" spans="1:14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  <c r="N3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4" spans="1:14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  <c r="N4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5" spans="1:14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  <c r="N5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6" spans="1:14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  <c r="N6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7" spans="1:14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  <c r="N7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8" spans="1:14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  <c r="N8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9" spans="1:14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  <c r="N9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0" spans="1:14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  <c r="N10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1" spans="1:14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  <c r="N11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2" spans="1:14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  <c r="N12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3" spans="1:14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  <c r="N13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4" spans="1:14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  <c r="N14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5" spans="1:14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  <c r="N15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6" spans="1:14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  <c r="N16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7" spans="1:14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  <c r="N17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8" spans="1:14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  <c r="N18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9" spans="1:14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  <c r="N19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0" spans="1:14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  <c r="N20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1" spans="1:14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  <c r="N21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2" spans="1:14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  <c r="N22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3" spans="1:14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  <c r="N23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4" spans="1:14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  <c r="N24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5" spans="1:14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  <c r="N25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6" spans="1:14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  <c r="N26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7" spans="1:14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  <c r="N27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8" spans="1:14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  <c r="N28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9" spans="1:14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  <c r="N29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30" spans="1:14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  <c r="N30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31" spans="1:14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  <c r="N31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32" spans="1:14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  <c r="N32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33" spans="1:14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  <c r="N33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34" spans="1:14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  <c r="N34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35" spans="1:14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  <c r="N35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36" spans="1:14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  <c r="N36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37" spans="1:14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  <c r="N37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38" spans="1:14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  <c r="N38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39" spans="1:14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  <c r="N39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40" spans="1:14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  <c r="N40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41" spans="1:14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  <c r="N41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42" spans="1:14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  <c r="N42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43" spans="1:14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  <c r="N43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44" spans="1:14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  <c r="N44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45" spans="1:14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  <c r="N45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46" spans="1:14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  <c r="N46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47" spans="1:14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  <c r="N47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48" spans="1:14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  <c r="N48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49" spans="1:14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  <c r="N49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50" spans="1:14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  <c r="N50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51" spans="1:14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  <c r="N51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52" spans="1:14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  <c r="N52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53" spans="1:14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  <c r="N53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54" spans="1:14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  <c r="N54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55" spans="1:14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  <c r="N55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56" spans="1:14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  <c r="N56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57" spans="1:14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  <c r="N57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58" spans="1:14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  <c r="N58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59" spans="1:14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  <c r="N59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60" spans="1:14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  <c r="N60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61" spans="1:14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  <c r="N61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62" spans="1:14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  <c r="N62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63" spans="1:14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  <c r="N63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64" spans="1:14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  <c r="N64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65" spans="1:14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  <c r="N65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66" spans="1:14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  <c r="N66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67" spans="1:14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  <c r="N67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68" spans="1:14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  <c r="N68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69" spans="1:14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  <c r="N69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70" spans="1:14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  <c r="N70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71" spans="1:14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  <c r="N71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72" spans="1:14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  <c r="N72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73" spans="1:14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  <c r="N73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74" spans="1:14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  <c r="N74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75" spans="1:14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  <c r="N75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76" spans="1:14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  <c r="N76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77" spans="1:14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  <c r="N77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78" spans="1:14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  <c r="N78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79" spans="1:14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  <c r="N79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80" spans="1:14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  <c r="N80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81" spans="1:14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  <c r="N81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82" spans="1:14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  <c r="N82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83" spans="1:14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  <c r="N83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84" spans="1:14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  <c r="N84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85" spans="1:14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  <c r="N85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86" spans="1:14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  <c r="N86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87" spans="1:14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  <c r="N87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88" spans="1:14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  <c r="N88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89" spans="1:14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  <c r="N89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90" spans="1:14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  <c r="N90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91" spans="1:14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  <c r="N91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92" spans="1:14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  <c r="N92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93" spans="1:14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  <c r="N93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94" spans="1:14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  <c r="N94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95" spans="1:14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  <c r="N95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96" spans="1:14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  <c r="N96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97" spans="1:14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  <c r="N97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98" spans="1:14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  <c r="N98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99" spans="1:14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  <c r="N99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00" spans="1:14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  <c r="N100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01" spans="1:14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  <c r="N101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02" spans="1:14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  <c r="N102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03" spans="1:14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  <c r="N103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04" spans="1:14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  <c r="N104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05" spans="1:14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  <c r="N105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06" spans="1:14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  <c r="N106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07" spans="1:14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  <c r="N107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08" spans="1:14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  <c r="N108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09" spans="1:14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  <c r="N109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10" spans="1:14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  <c r="N110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11" spans="1:14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  <c r="N111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12" spans="1:14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  <c r="N112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13" spans="1:14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  <c r="N113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14" spans="1:14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  <c r="N114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15" spans="1:14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  <c r="N115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16" spans="1:14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  <c r="N116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17" spans="1:14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  <c r="N117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18" spans="1:14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  <c r="N118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19" spans="1:14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  <c r="N119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20" spans="1:14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  <c r="N120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21" spans="1:14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  <c r="N121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22" spans="1:14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  <c r="N122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23" spans="1:14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  <c r="N123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24" spans="1:14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  <c r="N124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25" spans="1:14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  <c r="N125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26" spans="1:14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  <c r="N126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27" spans="1:14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  <c r="N127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28" spans="1:14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  <c r="N128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29" spans="1:14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  <c r="N129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30" spans="1:14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  <c r="N130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31" spans="1:14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  <c r="N131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32" spans="1:14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  <c r="N132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33" spans="1:14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  <c r="N133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34" spans="1:14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  <c r="N134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35" spans="1:14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  <c r="N135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36" spans="1:14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  <c r="N136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37" spans="1:14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  <c r="N137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38" spans="1:14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  <c r="N138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39" spans="1:14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  <c r="N139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40" spans="1:14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  <c r="N140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41" spans="1:14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  <c r="N141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42" spans="1:14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  <c r="N142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43" spans="1:14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  <c r="N143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44" spans="1:14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  <c r="N144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45" spans="1:14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  <c r="N145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46" spans="1:14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  <c r="N146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47" spans="1:14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  <c r="N147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48" spans="1:14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  <c r="N148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49" spans="1:14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  <c r="N149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50" spans="1:14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  <c r="N150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51" spans="1:14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  <c r="N151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52" spans="1:14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  <c r="N152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53" spans="1:14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  <c r="N153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54" spans="1:14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  <c r="N154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55" spans="1:14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  <c r="N155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56" spans="1:14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  <c r="N156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57" spans="1:14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  <c r="N157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58" spans="1:14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  <c r="N158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59" spans="1:14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  <c r="N159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60" spans="1:14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  <c r="N160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61" spans="1:14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  <c r="N161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62" spans="1:14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  <c r="N162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63" spans="1:14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  <c r="N163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64" spans="1:14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  <c r="N164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65" spans="1:14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  <c r="N165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66" spans="1:14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  <c r="N166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67" spans="1:14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  <c r="N167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68" spans="1:14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  <c r="N168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69" spans="1:14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  <c r="N169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70" spans="1:14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  <c r="N170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71" spans="1:14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  <c r="N171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72" spans="1:14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  <c r="N172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73" spans="1:14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  <c r="N173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74" spans="1:14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  <c r="N174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75" spans="1:14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  <c r="N175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76" spans="1:14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  <c r="N176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77" spans="1:14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  <c r="N177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78" spans="1:14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  <c r="N178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79" spans="1:14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  <c r="N179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80" spans="1:14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  <c r="N180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81" spans="1:14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  <c r="N181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82" spans="1:14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  <c r="N182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83" spans="1:14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  <c r="N183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84" spans="1:14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  <c r="N184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85" spans="1:14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  <c r="N185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86" spans="1:14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  <c r="N186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87" spans="1:14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  <c r="N187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88" spans="1:14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  <c r="N188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89" spans="1:14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  <c r="N189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90" spans="1:14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  <c r="N190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91" spans="1:14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  <c r="N191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92" spans="1:14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  <c r="N192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93" spans="1:14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  <c r="N193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94" spans="1:14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  <c r="N194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95" spans="1:14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  <c r="N195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96" spans="1:14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  <c r="N196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197" spans="1:14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  <c r="N197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198" spans="1:14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  <c r="N198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199" spans="1:14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  <c r="N199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00" spans="1:14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  <c r="N200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01" spans="1:14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  <c r="N201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02" spans="1:14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  <c r="N202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03" spans="1:14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  <c r="N203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04" spans="1:14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  <c r="N204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05" spans="1:14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  <c r="N205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06" spans="1:14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  <c r="N206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07" spans="1:14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  <c r="N207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08" spans="1:14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  <c r="N208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09" spans="1:14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  <c r="N209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10" spans="1:14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  <c r="N210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11" spans="1:14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  <c r="N211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12" spans="1:14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  <c r="N212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13" spans="1:14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  <c r="N213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14" spans="1:14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  <c r="N214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15" spans="1:14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  <c r="N215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16" spans="1:14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  <c r="N216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17" spans="1:14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  <c r="N217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18" spans="1:14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  <c r="N218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19" spans="1:14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  <c r="N219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20" spans="1:14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  <c r="N220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21" spans="1:14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  <c r="N221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22" spans="1:14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  <c r="N222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23" spans="1:14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  <c r="N223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24" spans="1:14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  <c r="N224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25" spans="1:14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  <c r="N225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26" spans="1:14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  <c r="N226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27" spans="1:14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  <c r="N227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28" spans="1:14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  <c r="N228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29" spans="1:14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  <c r="N229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30" spans="1:14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  <c r="N230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31" spans="1:14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  <c r="N231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32" spans="1:14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  <c r="N232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33" spans="1:14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  <c r="N233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34" spans="1:14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  <c r="N234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35" spans="1:14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  <c r="N235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36" spans="1:14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  <c r="N236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37" spans="1:14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  <c r="N237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38" spans="1:14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  <c r="N238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39" spans="1:14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  <c r="N239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40" spans="1:14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  <c r="N240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41" spans="1:14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  <c r="N241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42" spans="1:14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  <c r="N242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43" spans="1:14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  <c r="N243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44" spans="1:14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  <c r="N244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45" spans="1:14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  <c r="N245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46" spans="1:14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  <c r="N246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47" spans="1:14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  <c r="N247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48" spans="1:14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  <c r="N248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49" spans="1:14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  <c r="N249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50" spans="1:14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  <c r="N250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51" spans="1:14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  <c r="N251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52" spans="1:14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  <c r="N252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53" spans="1:14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  <c r="N253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54" spans="1:14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  <c r="N254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55" spans="1:14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  <c r="N255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56" spans="1:14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  <c r="N256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57" spans="1:14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  <c r="N257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58" spans="1:14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  <c r="N258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59" spans="1:14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  <c r="N259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60" spans="1:14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  <c r="N260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61" spans="1:14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  <c r="N261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62" spans="1:14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  <c r="N262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63" spans="1:14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  <c r="N263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64" spans="1:14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  <c r="N264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65" spans="1:14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  <c r="N265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66" spans="1:14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  <c r="N266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67" spans="1:14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  <c r="N267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68" spans="1:14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  <c r="N268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69" spans="1:14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  <c r="N269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70" spans="1:14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  <c r="N270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71" spans="1:14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  <c r="N271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72" spans="1:14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  <c r="N272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73" spans="1:14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  <c r="N273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74" spans="1:14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  <c r="N274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75" spans="1:14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  <c r="N275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76" spans="1:14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  <c r="N276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77" spans="1:14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  <c r="N277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78" spans="1:14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  <c r="N278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79" spans="1:14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  <c r="N279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80" spans="1:14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  <c r="N280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81" spans="1:14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  <c r="N281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82" spans="1:14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  <c r="N282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83" spans="1:14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  <c r="N283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84" spans="1:14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  <c r="N284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85" spans="1:14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  <c r="N285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86" spans="1:14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  <c r="N286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87" spans="1:14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  <c r="N287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88" spans="1:14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  <c r="N288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89" spans="1:14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  <c r="N289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90" spans="1:14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  <c r="N290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91" spans="1:14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  <c r="N291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92" spans="1:14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  <c r="N292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93" spans="1:14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  <c r="N293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  <row r="294" spans="1:14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  <c r="N294" s="11" t="str">
        <f>IF(Tabela1[[#This Row],[EA Play Season Pass]]="Yes","COM EA PASS"," SEM EA PASS")&amp;" / "&amp;(IF(Tabela1[[#This Row],[Minecraft Season Pass]]="Yes","COM MINE PASS"," SEM MINE PASS"))</f>
        <v>COM EA PASS / COM MINE PASS</v>
      </c>
    </row>
    <row r="295" spans="1:14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  <c r="N295" s="11" t="str">
        <f>IF(Tabela1[[#This Row],[EA Play Season Pass]]="Yes","COM EA PASS"," SEM EA PASS")&amp;" / "&amp;(IF(Tabela1[[#This Row],[Minecraft Season Pass]]="Yes","COM MINE PASS"," SEM MINE PASS"))</f>
        <v xml:space="preserve"> SEM EA PASS / COM MINE PASS</v>
      </c>
    </row>
    <row r="296" spans="1:14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  <c r="N296" s="11" t="str">
        <f>IF(Tabela1[[#This Row],[EA Play Season Pass]]="Yes","COM EA PASS"," SEM EA PASS")&amp;" / "&amp;(IF(Tabela1[[#This Row],[Minecraft Season Pass]]="Yes","COM MINE PASS"," SEM MINE PASS"))</f>
        <v xml:space="preserve"> SEM EA PASS /  SEM MINE PASS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Z14"/>
  <sheetViews>
    <sheetView topLeftCell="U1" zoomScale="85" zoomScaleNormal="85" workbookViewId="0">
      <selection activeCell="Z6" sqref="Z6"/>
    </sheetView>
  </sheetViews>
  <sheetFormatPr defaultRowHeight="14.25"/>
  <cols>
    <col min="1" max="1" width="25.75" bestFit="1" customWidth="1"/>
    <col min="3" max="3" width="18.375" bestFit="1" customWidth="1"/>
    <col min="4" max="4" width="18" bestFit="1" customWidth="1"/>
    <col min="5" max="5" width="25.875" bestFit="1" customWidth="1"/>
    <col min="6" max="6" width="19.125" bestFit="1" customWidth="1"/>
    <col min="7" max="7" width="25.875" bestFit="1" customWidth="1"/>
    <col min="8" max="8" width="8.25" bestFit="1" customWidth="1"/>
    <col min="9" max="9" width="4.875" bestFit="1" customWidth="1"/>
    <col min="10" max="10" width="10.75" bestFit="1" customWidth="1"/>
    <col min="11" max="11" width="30.125" bestFit="1" customWidth="1"/>
    <col min="12" max="12" width="25.875" bestFit="1" customWidth="1"/>
    <col min="13" max="14" width="9.75" bestFit="1" customWidth="1"/>
    <col min="15" max="15" width="25.875" bestFit="1" customWidth="1"/>
    <col min="16" max="16" width="32" bestFit="1" customWidth="1"/>
    <col min="17" max="17" width="12.125" bestFit="1" customWidth="1"/>
    <col min="19" max="19" width="25.875" bestFit="1" customWidth="1"/>
    <col min="20" max="20" width="32.125" bestFit="1" customWidth="1"/>
    <col min="22" max="22" width="25.875" bestFit="1" customWidth="1"/>
    <col min="23" max="23" width="31.875" bestFit="1" customWidth="1"/>
    <col min="25" max="25" width="18" bestFit="1" customWidth="1"/>
    <col min="26" max="26" width="25.875" bestFit="1" customWidth="1"/>
  </cols>
  <sheetData>
    <row r="1" spans="1:26">
      <c r="A1" t="s">
        <v>315</v>
      </c>
      <c r="D1" s="13" t="s">
        <v>317</v>
      </c>
      <c r="E1" t="s">
        <v>316</v>
      </c>
      <c r="K1" s="13" t="s">
        <v>317</v>
      </c>
      <c r="L1" t="s">
        <v>316</v>
      </c>
      <c r="O1" s="13" t="s">
        <v>323</v>
      </c>
      <c r="P1" t="s">
        <v>321</v>
      </c>
      <c r="S1" s="13" t="s">
        <v>324</v>
      </c>
      <c r="T1" t="s">
        <v>320</v>
      </c>
      <c r="V1" s="13" t="s">
        <v>325</v>
      </c>
      <c r="W1" t="s">
        <v>322</v>
      </c>
      <c r="Y1" s="13" t="s">
        <v>317</v>
      </c>
      <c r="Z1" t="s">
        <v>316</v>
      </c>
    </row>
    <row r="2" spans="1:26">
      <c r="A2" s="12">
        <v>295</v>
      </c>
      <c r="D2" s="14" t="s">
        <v>22</v>
      </c>
      <c r="E2" s="15">
        <v>0.17206132879045996</v>
      </c>
      <c r="K2" s="14" t="s">
        <v>320</v>
      </c>
      <c r="L2" s="17">
        <v>505</v>
      </c>
      <c r="Y2" s="14" t="s">
        <v>327</v>
      </c>
      <c r="Z2" s="17">
        <v>20</v>
      </c>
    </row>
    <row r="3" spans="1:26">
      <c r="D3" s="14" t="s">
        <v>26</v>
      </c>
      <c r="E3" s="15">
        <v>0.3270868824531516</v>
      </c>
      <c r="G3" t="s">
        <v>316</v>
      </c>
      <c r="K3" s="14" t="s">
        <v>321</v>
      </c>
      <c r="L3" s="17">
        <v>960</v>
      </c>
      <c r="O3" t="s">
        <v>316</v>
      </c>
      <c r="S3" t="s">
        <v>316</v>
      </c>
      <c r="V3" t="s">
        <v>316</v>
      </c>
      <c r="Y3" s="14" t="s">
        <v>328</v>
      </c>
      <c r="Z3" s="17">
        <v>25</v>
      </c>
    </row>
    <row r="4" spans="1:26">
      <c r="D4" s="14" t="s">
        <v>18</v>
      </c>
      <c r="E4" s="15">
        <v>0.50085178875638836</v>
      </c>
      <c r="G4" s="17">
        <v>2935</v>
      </c>
      <c r="K4" s="14" t="s">
        <v>322</v>
      </c>
      <c r="L4" s="17">
        <v>1470</v>
      </c>
      <c r="O4" s="17">
        <v>960</v>
      </c>
      <c r="S4" s="17">
        <v>505</v>
      </c>
      <c r="V4" s="17">
        <v>1470</v>
      </c>
      <c r="Y4" s="14" t="s">
        <v>329</v>
      </c>
      <c r="Z4" s="17">
        <v>305</v>
      </c>
    </row>
    <row r="5" spans="1:26">
      <c r="D5" s="14" t="s">
        <v>318</v>
      </c>
      <c r="E5" s="15">
        <v>1</v>
      </c>
      <c r="K5" s="14" t="s">
        <v>318</v>
      </c>
      <c r="L5" s="12">
        <v>2935</v>
      </c>
      <c r="Y5" s="14" t="s">
        <v>330</v>
      </c>
      <c r="Z5" s="17">
        <v>300</v>
      </c>
    </row>
    <row r="6" spans="1:26">
      <c r="Y6" s="14" t="s">
        <v>331</v>
      </c>
      <c r="Z6" s="17">
        <v>305</v>
      </c>
    </row>
    <row r="7" spans="1:26">
      <c r="Y7" s="14" t="s">
        <v>332</v>
      </c>
      <c r="Z7" s="17">
        <v>300</v>
      </c>
    </row>
    <row r="8" spans="1:26">
      <c r="Y8" s="14" t="s">
        <v>333</v>
      </c>
      <c r="Z8" s="17">
        <v>305</v>
      </c>
    </row>
    <row r="9" spans="1:26">
      <c r="Y9" s="14" t="s">
        <v>334</v>
      </c>
      <c r="Z9" s="17">
        <v>305</v>
      </c>
    </row>
    <row r="10" spans="1:26">
      <c r="Y10" s="14" t="s">
        <v>335</v>
      </c>
      <c r="Z10" s="17">
        <v>300</v>
      </c>
    </row>
    <row r="11" spans="1:26">
      <c r="Y11" s="14" t="s">
        <v>336</v>
      </c>
      <c r="Z11" s="17">
        <v>315</v>
      </c>
    </row>
    <row r="12" spans="1:26">
      <c r="Y12" s="14" t="s">
        <v>337</v>
      </c>
      <c r="Z12" s="17">
        <v>300</v>
      </c>
    </row>
    <row r="13" spans="1:26">
      <c r="Y13" s="14" t="s">
        <v>338</v>
      </c>
      <c r="Z13" s="17">
        <v>155</v>
      </c>
    </row>
    <row r="14" spans="1:26">
      <c r="Y14" s="14" t="s">
        <v>318</v>
      </c>
      <c r="Z14" s="17">
        <v>2935</v>
      </c>
    </row>
  </sheetData>
  <pageMargins left="0.511811024" right="0.511811024" top="0.78740157499999996" bottom="0.78740157499999996" header="0.31496062000000002" footer="0.31496062000000002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D3:AF14"/>
  <sheetViews>
    <sheetView showGridLines="0" showRowColHeaders="0" tabSelected="1" zoomScaleNormal="100" workbookViewId="0">
      <selection activeCell="P46" sqref="P46"/>
    </sheetView>
  </sheetViews>
  <sheetFormatPr defaultRowHeight="14.25"/>
  <cols>
    <col min="1" max="1" width="20" customWidth="1"/>
    <col min="2" max="2" width="3.625" customWidth="1"/>
    <col min="12" max="12" width="6.625" customWidth="1"/>
    <col min="31" max="31" width="24.25" bestFit="1" customWidth="1"/>
    <col min="32" max="32" width="11.5" bestFit="1" customWidth="1"/>
  </cols>
  <sheetData>
    <row r="3" spans="4:32" ht="16.5" customHeight="1">
      <c r="D3" s="20" t="s">
        <v>339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4" spans="4:32" ht="18" customHeight="1"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</row>
    <row r="5" spans="4:32" ht="3" customHeight="1"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4:32">
      <c r="G6" s="18" t="s">
        <v>326</v>
      </c>
    </row>
    <row r="8" spans="4:32" ht="18.75" customHeight="1">
      <c r="AF8" s="17">
        <f>GETPIVOTDATA("Subscription Price",C̳álculos!$G$3)</f>
        <v>2935</v>
      </c>
    </row>
    <row r="9" spans="4:32" ht="20.25" customHeight="1">
      <c r="AE9" s="16" t="s">
        <v>323</v>
      </c>
      <c r="AF9" s="17">
        <f>GETPIVOTDATA("Subscription Price",C̳álculos!$O$3)</f>
        <v>960</v>
      </c>
    </row>
    <row r="10" spans="4:32" ht="18.75" customHeight="1">
      <c r="AE10" s="16" t="s">
        <v>324</v>
      </c>
      <c r="AF10" s="17">
        <f>GETPIVOTDATA("Subscription Price",C̳álculos!$S$3)</f>
        <v>505</v>
      </c>
    </row>
    <row r="11" spans="4:32">
      <c r="AE11" s="16" t="s">
        <v>325</v>
      </c>
      <c r="AF11" s="17">
        <f>GETPIVOTDATA("Subscription Price",C̳álculos!$V$3)</f>
        <v>1470</v>
      </c>
    </row>
    <row r="12" spans="4:32" ht="10.5" customHeight="1"/>
    <row r="13" spans="4:32" ht="9.75" customHeight="1"/>
    <row r="14" spans="4:32" ht="33" customHeight="1"/>
  </sheetData>
  <mergeCells count="1">
    <mergeCell ref="D3:O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purl.org/dc/dcmitype/"/>
    <ds:schemaRef ds:uri="http://purl.org/dc/terms/"/>
    <ds:schemaRef ds:uri="19483571-f922-4e8e-9c1c-26f0a2252132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851b35d3-0456-4d6a-bc2f-da927e91d158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Gabriel Gonçalves dos Santos</cp:lastModifiedBy>
  <dcterms:created xsi:type="dcterms:W3CDTF">2024-12-19T13:13:10Z</dcterms:created>
  <dcterms:modified xsi:type="dcterms:W3CDTF">2025-03-04T17:37:33Z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